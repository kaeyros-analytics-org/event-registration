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Thierry Monthe\Desktop\"/>
    </mc:Choice>
  </mc:AlternateContent>
  <xr:revisionPtr revIDLastSave="0" documentId="13_ncr:1_{FE136D2C-0B2A-450E-8540-AB93B66084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iginal" sheetId="1" r:id="rId1"/>
    <sheet name="Transformé" sheetId="2" r:id="rId2"/>
    <sheet name="Statistique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6" i="2" l="1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N167" i="1"/>
  <c r="N161" i="1"/>
  <c r="C166" i="1"/>
  <c r="O152" i="1"/>
  <c r="M152" i="1"/>
  <c r="N151" i="1"/>
  <c r="Q150" i="1"/>
  <c r="N150" i="1"/>
  <c r="N148" i="1"/>
  <c r="N147" i="1"/>
  <c r="N146" i="1"/>
  <c r="N145" i="1"/>
  <c r="N144" i="1"/>
  <c r="N143" i="1"/>
  <c r="N142" i="1"/>
  <c r="N141" i="1"/>
  <c r="N140" i="1"/>
  <c r="N139" i="1"/>
  <c r="Q138" i="1"/>
  <c r="N138" i="1"/>
  <c r="N137" i="1"/>
  <c r="N136" i="1"/>
  <c r="Q135" i="1"/>
  <c r="N135" i="1"/>
  <c r="N134" i="1"/>
  <c r="N133" i="1"/>
  <c r="N132" i="1"/>
  <c r="Q131" i="1"/>
  <c r="N131" i="1"/>
  <c r="N129" i="1"/>
  <c r="N128" i="1"/>
  <c r="N127" i="1"/>
  <c r="Q126" i="1"/>
  <c r="N126" i="1"/>
  <c r="N124" i="1"/>
  <c r="N123" i="1"/>
  <c r="N122" i="1"/>
  <c r="Q121" i="1"/>
  <c r="N121" i="1"/>
  <c r="N119" i="1"/>
  <c r="N118" i="1"/>
  <c r="N117" i="1"/>
  <c r="N116" i="1"/>
  <c r="N115" i="1"/>
  <c r="Q114" i="1"/>
  <c r="N114" i="1"/>
  <c r="N112" i="1"/>
  <c r="N111" i="1"/>
  <c r="N110" i="1"/>
  <c r="Q109" i="1"/>
  <c r="N109" i="1"/>
  <c r="N107" i="1"/>
  <c r="N106" i="1"/>
  <c r="N105" i="1"/>
  <c r="Q104" i="1"/>
  <c r="N104" i="1"/>
  <c r="N102" i="1"/>
  <c r="N101" i="1"/>
  <c r="N100" i="1"/>
  <c r="Q99" i="1"/>
  <c r="N99" i="1"/>
  <c r="N97" i="1"/>
  <c r="N96" i="1"/>
  <c r="Q95" i="1"/>
  <c r="N95" i="1"/>
  <c r="N93" i="1"/>
  <c r="N92" i="1"/>
  <c r="N91" i="1"/>
  <c r="N90" i="1"/>
  <c r="N89" i="1"/>
  <c r="Q88" i="1"/>
  <c r="N88" i="1"/>
  <c r="N86" i="1"/>
  <c r="N85" i="1"/>
  <c r="N84" i="1"/>
  <c r="N83" i="1"/>
  <c r="Q82" i="1"/>
  <c r="N82" i="1"/>
  <c r="N80" i="1"/>
  <c r="N79" i="1"/>
  <c r="N78" i="1"/>
  <c r="N77" i="1"/>
  <c r="N76" i="1"/>
  <c r="Q75" i="1"/>
  <c r="N75" i="1"/>
  <c r="N73" i="1"/>
  <c r="N72" i="1"/>
  <c r="N71" i="1"/>
  <c r="N70" i="1"/>
  <c r="N69" i="1"/>
  <c r="Q68" i="1"/>
  <c r="N68" i="1"/>
  <c r="N66" i="1"/>
  <c r="N65" i="1"/>
  <c r="N64" i="1"/>
  <c r="N63" i="1"/>
  <c r="N62" i="1"/>
  <c r="N61" i="1"/>
  <c r="Q60" i="1"/>
  <c r="N60" i="1"/>
  <c r="N59" i="1"/>
  <c r="N58" i="1"/>
  <c r="N57" i="1"/>
  <c r="N56" i="1"/>
  <c r="N55" i="1"/>
  <c r="Q54" i="1"/>
  <c r="N54" i="1"/>
  <c r="N53" i="1"/>
  <c r="N52" i="1"/>
  <c r="N51" i="1"/>
  <c r="N50" i="1"/>
  <c r="N49" i="1"/>
  <c r="N48" i="1"/>
  <c r="N47" i="1"/>
  <c r="Q46" i="1"/>
  <c r="N46" i="1"/>
  <c r="N44" i="1"/>
  <c r="N43" i="1"/>
  <c r="N42" i="1"/>
  <c r="N41" i="1"/>
  <c r="Q40" i="1"/>
  <c r="N40" i="1"/>
  <c r="N39" i="1"/>
  <c r="N38" i="1"/>
  <c r="Q37" i="1"/>
  <c r="N37" i="1"/>
  <c r="N36" i="1"/>
  <c r="N35" i="1"/>
  <c r="N34" i="1"/>
  <c r="N33" i="1"/>
  <c r="N32" i="1"/>
  <c r="Q31" i="1"/>
  <c r="N31" i="1"/>
  <c r="N30" i="1"/>
  <c r="N29" i="1"/>
  <c r="Q28" i="1"/>
  <c r="N28" i="1"/>
  <c r="N26" i="1"/>
  <c r="N25" i="1"/>
  <c r="N24" i="1"/>
  <c r="N23" i="1"/>
  <c r="N22" i="1"/>
  <c r="Q21" i="1"/>
  <c r="N21" i="1"/>
  <c r="N19" i="1"/>
  <c r="N18" i="1"/>
  <c r="N17" i="1"/>
  <c r="N16" i="1"/>
  <c r="N15" i="1"/>
  <c r="N14" i="1"/>
  <c r="Q13" i="1"/>
  <c r="N13" i="1"/>
  <c r="N11" i="1"/>
  <c r="N10" i="1"/>
  <c r="N9" i="1"/>
  <c r="N8" i="1"/>
  <c r="Q7" i="1"/>
  <c r="N7" i="1"/>
  <c r="N5" i="1"/>
  <c r="N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Q3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N3" i="1"/>
  <c r="N152" i="1" l="1"/>
</calcChain>
</file>

<file path=xl/sharedStrings.xml><?xml version="1.0" encoding="utf-8"?>
<sst xmlns="http://schemas.openxmlformats.org/spreadsheetml/2006/main" count="1579" uniqueCount="547">
  <si>
    <t>QTE</t>
  </si>
  <si>
    <t>DATE</t>
  </si>
  <si>
    <t>ACCEPTE</t>
  </si>
  <si>
    <t>REFUS</t>
  </si>
  <si>
    <t>N° PV</t>
  </si>
  <si>
    <t>N° SCELLES</t>
  </si>
  <si>
    <t>DESCRIPTIONS</t>
  </si>
  <si>
    <t>C/CV</t>
  </si>
  <si>
    <t>IMMATRI</t>
  </si>
  <si>
    <t>CONTACT</t>
  </si>
  <si>
    <t>CAT</t>
  </si>
  <si>
    <t>DATE P.V</t>
  </si>
  <si>
    <t>pht</t>
  </si>
  <si>
    <t>TVA</t>
  </si>
  <si>
    <t>PTTC</t>
  </si>
  <si>
    <t>SOLDE</t>
  </si>
  <si>
    <t>C</t>
  </si>
  <si>
    <t>B</t>
  </si>
  <si>
    <t>B1</t>
  </si>
  <si>
    <t>A</t>
  </si>
  <si>
    <t>PETRO SCES &amp; LOGISTIQUE</t>
  </si>
  <si>
    <t>D</t>
  </si>
  <si>
    <t>TOBOU TA TANGMO ZEPHIIRIN</t>
  </si>
  <si>
    <t>60566-24010213282424</t>
  </si>
  <si>
    <t>H 26788</t>
  </si>
  <si>
    <t>ENVIRON RECHER ACTION CAMEROON</t>
  </si>
  <si>
    <t>CE 2942 Z</t>
  </si>
  <si>
    <t>60566-24010213432330</t>
  </si>
  <si>
    <t>H 26787</t>
  </si>
  <si>
    <t>BA-INCAM &amp; SONS; COMPANY LTD B.C &amp; S</t>
  </si>
  <si>
    <t>CE 483 MB</t>
  </si>
  <si>
    <t xml:space="preserve"> 60566-24010215091693</t>
  </si>
  <si>
    <t>H 26786</t>
  </si>
  <si>
    <t>POUNTI NGINGI MOUHAMAD ( ETS TRANS P.PM</t>
  </si>
  <si>
    <t>LTTR 711 AY</t>
  </si>
  <si>
    <t>SOLDE DU 02/01/2024</t>
  </si>
  <si>
    <t xml:space="preserve"> 60566-24010312150610</t>
  </si>
  <si>
    <t>H 26785</t>
  </si>
  <si>
    <t>ALIOS FIN CAM LOC CONSTRUC.CARROS.MEN</t>
  </si>
  <si>
    <t>LTTR 468 AR</t>
  </si>
  <si>
    <t xml:space="preserve"> 60566-24010312422753</t>
  </si>
  <si>
    <t>H 26784</t>
  </si>
  <si>
    <t>AMBOROMO A YAKAN MOISE JOSEPH</t>
  </si>
  <si>
    <t>CE 223 IU</t>
  </si>
  <si>
    <t xml:space="preserve"> 60566-24010313255839</t>
  </si>
  <si>
    <t>H 26783</t>
  </si>
  <si>
    <r>
      <t xml:space="preserve">LIKANE GUY CHARLES              </t>
    </r>
    <r>
      <rPr>
        <sz val="11"/>
        <color rgb="FFFF0000"/>
        <rFont val="Calibri"/>
        <family val="2"/>
        <scheme val="minor"/>
      </rPr>
      <t>RED 400</t>
    </r>
  </si>
  <si>
    <t>CE 574 ME</t>
  </si>
  <si>
    <t>60566-24010314001477</t>
  </si>
  <si>
    <t>H 26782</t>
  </si>
  <si>
    <t>FORCHEH EDWARD NCHENDIA</t>
  </si>
  <si>
    <t>SW 772 BG</t>
  </si>
  <si>
    <t xml:space="preserve"> 60566-24010315473856</t>
  </si>
  <si>
    <t>H 26781</t>
  </si>
  <si>
    <t>DONGMO ZEBAZE ISABELLE LANDRY</t>
  </si>
  <si>
    <t>CE 957 KQ</t>
  </si>
  <si>
    <t>SOLDE DU 03/01/2024</t>
  </si>
  <si>
    <t xml:space="preserve"> 60566-24010409072230</t>
  </si>
  <si>
    <t>H 26780</t>
  </si>
  <si>
    <t>IMEXTRA SARL</t>
  </si>
  <si>
    <t>LTTR 391 AX</t>
  </si>
  <si>
    <t>60566-24010412223353</t>
  </si>
  <si>
    <t>H 26779</t>
  </si>
  <si>
    <t>LTSR 334 AY</t>
  </si>
  <si>
    <t>60566-24010412261486</t>
  </si>
  <si>
    <t>H 26778</t>
  </si>
  <si>
    <r>
      <t xml:space="preserve">LISSOCK SIMON FREDERICK      </t>
    </r>
    <r>
      <rPr>
        <sz val="11"/>
        <color rgb="FFFF0000"/>
        <rFont val="Calibri"/>
        <family val="2"/>
        <scheme val="minor"/>
      </rPr>
      <t xml:space="preserve"> RED 900</t>
    </r>
  </si>
  <si>
    <t>CE 014 JN</t>
  </si>
  <si>
    <t xml:space="preserve"> 60566-24010414133353</t>
  </si>
  <si>
    <t>H 26777</t>
  </si>
  <si>
    <r>
      <t xml:space="preserve">ESSEYI ALPHONSE DANIEL             </t>
    </r>
    <r>
      <rPr>
        <sz val="11"/>
        <color rgb="FFFF0000"/>
        <rFont val="Calibri"/>
        <family val="2"/>
        <scheme val="minor"/>
      </rPr>
      <t>RED 900</t>
    </r>
  </si>
  <si>
    <t>CE 344 FO</t>
  </si>
  <si>
    <t xml:space="preserve"> 60566-24010414293351</t>
  </si>
  <si>
    <t>H 26776</t>
  </si>
  <si>
    <t>EMA JEAN PASCAL</t>
  </si>
  <si>
    <t>CE 830 LA</t>
  </si>
  <si>
    <t>60566-24010415523892</t>
  </si>
  <si>
    <t>H 26775</t>
  </si>
  <si>
    <t>NGONO ZIBI CLARICE HERMINE</t>
  </si>
  <si>
    <t>CH 038610</t>
  </si>
  <si>
    <t xml:space="preserve"> 60566-24010416342529</t>
  </si>
  <si>
    <t>H 26774</t>
  </si>
  <si>
    <r>
      <t xml:space="preserve">AKAME NANKO TRACY MAGUY  </t>
    </r>
    <r>
      <rPr>
        <sz val="11"/>
        <color rgb="FFFF0000"/>
        <rFont val="Calibri"/>
        <family val="2"/>
        <scheme val="minor"/>
      </rPr>
      <t xml:space="preserve"> RED 400</t>
    </r>
  </si>
  <si>
    <t>CE 889 NB</t>
  </si>
  <si>
    <t>SOLDE DU 04/01/2024</t>
  </si>
  <si>
    <t xml:space="preserve"> 60566-24010508194823</t>
  </si>
  <si>
    <t>H 26773</t>
  </si>
  <si>
    <r>
      <t>ATANGANA GEORGETTE AYALBERT</t>
    </r>
    <r>
      <rPr>
        <sz val="11"/>
        <color rgb="FFFF0000"/>
        <rFont val="Calibri"/>
        <family val="2"/>
        <scheme val="minor"/>
      </rPr>
      <t xml:space="preserve">  RED 400</t>
    </r>
  </si>
  <si>
    <t>CE 442 FX</t>
  </si>
  <si>
    <t xml:space="preserve"> 60566-24010511581187</t>
  </si>
  <si>
    <t>H 26772</t>
  </si>
  <si>
    <r>
      <t>AKEZAMEZING AKONANG EPSE TCHOU SYMPHONIE</t>
    </r>
    <r>
      <rPr>
        <sz val="11"/>
        <color rgb="FFFF0000"/>
        <rFont val="Calibri"/>
        <family val="2"/>
        <scheme val="minor"/>
      </rPr>
      <t xml:space="preserve"> RED 900</t>
    </r>
  </si>
  <si>
    <t>LT 442 JS</t>
  </si>
  <si>
    <t xml:space="preserve"> 60566-24010513455971</t>
  </si>
  <si>
    <t>H 26771</t>
  </si>
  <si>
    <t>TSAMO BIDIACE</t>
  </si>
  <si>
    <t>CETR 871 AB</t>
  </si>
  <si>
    <t xml:space="preserve"> 60566-24010513580185</t>
  </si>
  <si>
    <t>H 26770</t>
  </si>
  <si>
    <t>CESR 545 AB</t>
  </si>
  <si>
    <t xml:space="preserve"> 60566-24010516034838</t>
  </si>
  <si>
    <t>H 26769</t>
  </si>
  <si>
    <t>LTSR 115 AS</t>
  </si>
  <si>
    <t>60566-24010517171823</t>
  </si>
  <si>
    <t xml:space="preserve">H 26768 </t>
  </si>
  <si>
    <t>LA CHOPE SARL</t>
  </si>
  <si>
    <t>CE 611 JM</t>
  </si>
  <si>
    <t>SOLDE DU 05/01/2024</t>
  </si>
  <si>
    <t>60566-24010608042688</t>
  </si>
  <si>
    <t>H 26767</t>
  </si>
  <si>
    <r>
      <t xml:space="preserve">NGUM CHINA MORINE </t>
    </r>
    <r>
      <rPr>
        <sz val="11"/>
        <color rgb="FFFF0000"/>
        <rFont val="Calibri"/>
        <family val="2"/>
        <scheme val="minor"/>
      </rPr>
      <t xml:space="preserve">  RED 900</t>
    </r>
  </si>
  <si>
    <t>LT 650 KS</t>
  </si>
  <si>
    <t xml:space="preserve"> 60566-24010608151980</t>
  </si>
  <si>
    <t>H 26766</t>
  </si>
  <si>
    <r>
      <t xml:space="preserve">QUINCAILLERIE NOBLE SARL    </t>
    </r>
    <r>
      <rPr>
        <sz val="11"/>
        <color rgb="FFFF0000"/>
        <rFont val="Calibri"/>
        <family val="2"/>
        <scheme val="minor"/>
      </rPr>
      <t xml:space="preserve">  RED 1235</t>
    </r>
  </si>
  <si>
    <t>CE 305 KH</t>
  </si>
  <si>
    <t>SOLDE DU 06/01/2024</t>
  </si>
  <si>
    <t xml:space="preserve"> 60566-24010808013788</t>
  </si>
  <si>
    <t>H 26765</t>
  </si>
  <si>
    <r>
      <t xml:space="preserve">TCHOUENYIM SIMO ALAIN     </t>
    </r>
    <r>
      <rPr>
        <sz val="11"/>
        <color rgb="FFFF0000"/>
        <rFont val="Calibri"/>
        <family val="2"/>
        <scheme val="minor"/>
      </rPr>
      <t>RED 500</t>
    </r>
  </si>
  <si>
    <t>AD 018 AR</t>
  </si>
  <si>
    <t xml:space="preserve"> 60566-24010809120240</t>
  </si>
  <si>
    <t>H 26764</t>
  </si>
  <si>
    <t>ABEGA FRANCINE ELODIE</t>
  </si>
  <si>
    <t>CE 319 ID</t>
  </si>
  <si>
    <t xml:space="preserve"> 60566-24010812175199</t>
  </si>
  <si>
    <t>H 26763</t>
  </si>
  <si>
    <t>TANG SOMO ALAIN LEBEL</t>
  </si>
  <si>
    <t>LT 131 FH</t>
  </si>
  <si>
    <t xml:space="preserve"> 60566-24010813130469</t>
  </si>
  <si>
    <t>H 26762</t>
  </si>
  <si>
    <r>
      <t xml:space="preserve">MFEGUE MIMBOE   </t>
    </r>
    <r>
      <rPr>
        <sz val="11"/>
        <color rgb="FFFF0000"/>
        <rFont val="Calibri"/>
        <family val="2"/>
        <scheme val="minor"/>
      </rPr>
      <t xml:space="preserve"> RED 900</t>
    </r>
  </si>
  <si>
    <t>CE 513 LF</t>
  </si>
  <si>
    <t xml:space="preserve"> 60566-24010816325912</t>
  </si>
  <si>
    <t>H 26761</t>
  </si>
  <si>
    <r>
      <t xml:space="preserve">NEGOU TCHINDA BERTIN     </t>
    </r>
    <r>
      <rPr>
        <sz val="11"/>
        <color rgb="FFFF0000"/>
        <rFont val="Calibri"/>
        <family val="2"/>
        <scheme val="minor"/>
      </rPr>
      <t xml:space="preserve"> RED 400</t>
    </r>
  </si>
  <si>
    <t>CE 309 MY</t>
  </si>
  <si>
    <t>SOLDE DU 08/01/2024</t>
  </si>
  <si>
    <t>60566-24010911045518</t>
  </si>
  <si>
    <t>H 26760</t>
  </si>
  <si>
    <t>NN BUSINESS SARL</t>
  </si>
  <si>
    <t>CETR 125 AE</t>
  </si>
  <si>
    <t xml:space="preserve"> 60566-24010911552221</t>
  </si>
  <si>
    <t>H 26759</t>
  </si>
  <si>
    <t>CESR 289 AD</t>
  </si>
  <si>
    <t>SOLDE DU 09/01/2024</t>
  </si>
  <si>
    <t xml:space="preserve"> 60566-24011009550167</t>
  </si>
  <si>
    <t>H 26758</t>
  </si>
  <si>
    <t>STE MEN TRAVEL</t>
  </si>
  <si>
    <t>LT 528 JW</t>
  </si>
  <si>
    <t>60566-24011012052266</t>
  </si>
  <si>
    <t>H 26757</t>
  </si>
  <si>
    <t>BICEC LOCATAIRE S.C.T.R.SARL</t>
  </si>
  <si>
    <t>LTTR 027 AK</t>
  </si>
  <si>
    <t xml:space="preserve"> 60566-24011012163716</t>
  </si>
  <si>
    <t>H 26756</t>
  </si>
  <si>
    <t>NGOUAGNA ETIENNE</t>
  </si>
  <si>
    <t>LTSR 424 AK</t>
  </si>
  <si>
    <t xml:space="preserve"> 60566-24011013031763</t>
  </si>
  <si>
    <t>H 26755</t>
  </si>
  <si>
    <t>HONGLIANG TRANSPORT SARL</t>
  </si>
  <si>
    <t>CESR 653 AC</t>
  </si>
  <si>
    <t xml:space="preserve"> 60566-24011013242847</t>
  </si>
  <si>
    <t>H 26754</t>
  </si>
  <si>
    <t>FEUKWA TAKOUKAM LEONARD</t>
  </si>
  <si>
    <t>CE 457 EE</t>
  </si>
  <si>
    <t>SOLDE DU 10/01/2024</t>
  </si>
  <si>
    <t>60566-24011107173024</t>
  </si>
  <si>
    <t>H 26753</t>
  </si>
  <si>
    <r>
      <t xml:space="preserve">AISSATA JEANNE    </t>
    </r>
    <r>
      <rPr>
        <sz val="11"/>
        <color rgb="FFFF0000"/>
        <rFont val="Calibri"/>
        <family val="2"/>
        <scheme val="minor"/>
      </rPr>
      <t xml:space="preserve">  RED 900</t>
    </r>
  </si>
  <si>
    <t>EN 815 AP</t>
  </si>
  <si>
    <t xml:space="preserve"> 60566-24011107514814</t>
  </si>
  <si>
    <t>H 26712</t>
  </si>
  <si>
    <t>STE BK BUSINESS</t>
  </si>
  <si>
    <t>LTSR 096 AR</t>
  </si>
  <si>
    <t xml:space="preserve"> 60566-24011108220795</t>
  </si>
  <si>
    <t>H 26752</t>
  </si>
  <si>
    <r>
      <t xml:space="preserve">KOM FOTSO HERMAN   </t>
    </r>
    <r>
      <rPr>
        <sz val="11"/>
        <color rgb="FFFF0000"/>
        <rFont val="Calibri"/>
        <family val="2"/>
        <scheme val="minor"/>
      </rPr>
      <t xml:space="preserve"> RED 900</t>
    </r>
  </si>
  <si>
    <t>CE 476 JD</t>
  </si>
  <si>
    <t xml:space="preserve"> 60566-24011108435654</t>
  </si>
  <si>
    <t>H 26751</t>
  </si>
  <si>
    <t>NGUEMLE NGUEMLE CLOVIS CNN</t>
  </si>
  <si>
    <t>CE 075 JO</t>
  </si>
  <si>
    <t xml:space="preserve"> 60566-24011109025882</t>
  </si>
  <si>
    <t>H 26750</t>
  </si>
  <si>
    <r>
      <t xml:space="preserve">GASANA FELICIEN    </t>
    </r>
    <r>
      <rPr>
        <sz val="11"/>
        <color rgb="FFFF0000"/>
        <rFont val="Calibri"/>
        <family val="2"/>
        <scheme val="minor"/>
      </rPr>
      <t xml:space="preserve">  RED 500</t>
    </r>
  </si>
  <si>
    <t>CE 192 FN</t>
  </si>
  <si>
    <t xml:space="preserve"> 60566-24011111055463</t>
  </si>
  <si>
    <t>H 26749</t>
  </si>
  <si>
    <t>KAMABE WELASSANGOU EPSE MEWOLI ROSE</t>
  </si>
  <si>
    <t>CE 608 EY</t>
  </si>
  <si>
    <t>60566-24011117275890</t>
  </si>
  <si>
    <t>H 26748</t>
  </si>
  <si>
    <t>STE CCMM SARL</t>
  </si>
  <si>
    <t>LTSRT 988 AN</t>
  </si>
  <si>
    <t>SOLDE DU 11/01/2024</t>
  </si>
  <si>
    <t xml:space="preserve"> 60566-24011208222549</t>
  </si>
  <si>
    <t>H 26747</t>
  </si>
  <si>
    <t>BAYMOH BENJAMEN AWARA</t>
  </si>
  <si>
    <t>CE 412 IZ</t>
  </si>
  <si>
    <t xml:space="preserve"> 60566-24011208461053</t>
  </si>
  <si>
    <t>H 26746</t>
  </si>
  <si>
    <t>NGAMOU IVANA ANNE</t>
  </si>
  <si>
    <t>LT 591 FC</t>
  </si>
  <si>
    <t xml:space="preserve"> 60566-24011209350127</t>
  </si>
  <si>
    <t>H 26745</t>
  </si>
  <si>
    <t>SU 027 AU</t>
  </si>
  <si>
    <t xml:space="preserve"> 60566-24011209493295</t>
  </si>
  <si>
    <t>H 26744</t>
  </si>
  <si>
    <t>MOUAKO ANDRE</t>
  </si>
  <si>
    <t>LT 277 HT</t>
  </si>
  <si>
    <t xml:space="preserve"> 60566-24011215050744</t>
  </si>
  <si>
    <t>H 26743</t>
  </si>
  <si>
    <t>TAHTSIN WOUEGOUM JEAN BERNARD</t>
  </si>
  <si>
    <t>CE 626 MG</t>
  </si>
  <si>
    <t>SOLDE DU 12/01/2024</t>
  </si>
  <si>
    <t xml:space="preserve"> 60566-24011307555240</t>
  </si>
  <si>
    <t>H 26742</t>
  </si>
  <si>
    <t>CONGREGATION OF THE SISTERS OF ST ANN</t>
  </si>
  <si>
    <t>NW 8080 D</t>
  </si>
  <si>
    <t xml:space="preserve"> 60566-24011310163570</t>
  </si>
  <si>
    <t>H 26741</t>
  </si>
  <si>
    <r>
      <t xml:space="preserve">KENFACK JOSEPH   </t>
    </r>
    <r>
      <rPr>
        <sz val="11"/>
        <color rgb="FFFF0000"/>
        <rFont val="Calibri"/>
        <family val="2"/>
        <scheme val="minor"/>
      </rPr>
      <t xml:space="preserve">  RED 900</t>
    </r>
  </si>
  <si>
    <t>CE 049 HZ</t>
  </si>
  <si>
    <t xml:space="preserve"> 60566-24011311172524</t>
  </si>
  <si>
    <t>H 26740</t>
  </si>
  <si>
    <r>
      <t xml:space="preserve">NYEMTAM MARTIN PYTHAGORE FILS    </t>
    </r>
    <r>
      <rPr>
        <sz val="11"/>
        <color rgb="FFFF0000"/>
        <rFont val="Calibri"/>
        <family val="2"/>
        <scheme val="minor"/>
      </rPr>
      <t xml:space="preserve">  RED 900</t>
    </r>
  </si>
  <si>
    <t>CE 165 KC</t>
  </si>
  <si>
    <t xml:space="preserve"> 60566-24011314041642</t>
  </si>
  <si>
    <t>H 26739</t>
  </si>
  <si>
    <t>GROUPE DE TRANSIT EXPRESS SARL GTE</t>
  </si>
  <si>
    <t>LTTR 935 AY</t>
  </si>
  <si>
    <t xml:space="preserve"> 60566-24011314485779</t>
  </si>
  <si>
    <t>H 26738</t>
  </si>
  <si>
    <t>S</t>
  </si>
  <si>
    <t>CH 190506</t>
  </si>
  <si>
    <t xml:space="preserve"> 60566-24011315141789</t>
  </si>
  <si>
    <t>H 26737</t>
  </si>
  <si>
    <t>SOTRANSHY SARL</t>
  </si>
  <si>
    <t>LTSR 552 AV</t>
  </si>
  <si>
    <t>60566-24011316473515</t>
  </si>
  <si>
    <t>H 26736</t>
  </si>
  <si>
    <t>WATSAA LONYEM ZEPHIRIN</t>
  </si>
  <si>
    <t>CE 803 GM</t>
  </si>
  <si>
    <t>SOLDE DU 13/01/2024</t>
  </si>
  <si>
    <t xml:space="preserve"> 60566-24011508140832</t>
  </si>
  <si>
    <t>H 26735</t>
  </si>
  <si>
    <t>FOMEKONG NGUEGANG BERTRAND</t>
  </si>
  <si>
    <t>LT 255 KE</t>
  </si>
  <si>
    <t>60566-24011508321893</t>
  </si>
  <si>
    <t>H 26734</t>
  </si>
  <si>
    <r>
      <t xml:space="preserve">SIM REMY  </t>
    </r>
    <r>
      <rPr>
        <sz val="11"/>
        <color rgb="FFFF0000"/>
        <rFont val="Calibri"/>
        <family val="2"/>
        <scheme val="minor"/>
      </rPr>
      <t xml:space="preserve"> RED 900</t>
    </r>
  </si>
  <si>
    <t>LT 394 GF</t>
  </si>
  <si>
    <t xml:space="preserve"> 60566-24011512241277</t>
  </si>
  <si>
    <t>H 26733</t>
  </si>
  <si>
    <r>
      <t xml:space="preserve">JIEUFO PAUL      </t>
    </r>
    <r>
      <rPr>
        <sz val="11"/>
        <color rgb="FFFF0000"/>
        <rFont val="Calibri"/>
        <family val="2"/>
        <scheme val="minor"/>
      </rPr>
      <t xml:space="preserve">   RED 400</t>
    </r>
  </si>
  <si>
    <t>CE 962 JM</t>
  </si>
  <si>
    <t>60566-24011513445235</t>
  </si>
  <si>
    <t>H 26732</t>
  </si>
  <si>
    <r>
      <t xml:space="preserve">TAHTSIN WOUEGOUM JEAN BERNARD </t>
    </r>
    <r>
      <rPr>
        <sz val="11"/>
        <color rgb="FFFF0000"/>
        <rFont val="Calibri"/>
        <family val="2"/>
        <scheme val="minor"/>
      </rPr>
      <t xml:space="preserve">  RED 900</t>
    </r>
  </si>
  <si>
    <t>CE 170 MI</t>
  </si>
  <si>
    <t xml:space="preserve"> 60566-24011513562864</t>
  </si>
  <si>
    <t>H 26731</t>
  </si>
  <si>
    <r>
      <t xml:space="preserve">SEUDJIO TCHANGA HENRI PASCAL   </t>
    </r>
    <r>
      <rPr>
        <sz val="11"/>
        <color rgb="FFFF0000"/>
        <rFont val="Calibri"/>
        <family val="2"/>
        <scheme val="minor"/>
      </rPr>
      <t xml:space="preserve"> RED 900</t>
    </r>
  </si>
  <si>
    <t>LT 503 JP</t>
  </si>
  <si>
    <t>60566-24011514281623</t>
  </si>
  <si>
    <t>H 26730</t>
  </si>
  <si>
    <t>STE CAMTEL</t>
  </si>
  <si>
    <t>CE 932 AM</t>
  </si>
  <si>
    <t>SOLDE DU 15/01/2024</t>
  </si>
  <si>
    <t xml:space="preserve"> 60566-24011609045380</t>
  </si>
  <si>
    <t>H 26729</t>
  </si>
  <si>
    <r>
      <t xml:space="preserve">MBA'NBO KOUMPA ABDOUL AZIZ     </t>
    </r>
    <r>
      <rPr>
        <sz val="11"/>
        <color rgb="FFFF0000"/>
        <rFont val="Calibri"/>
        <family val="2"/>
        <scheme val="minor"/>
      </rPr>
      <t>RED 900</t>
    </r>
  </si>
  <si>
    <t>LT 065 CI</t>
  </si>
  <si>
    <t xml:space="preserve"> 60566-24011609220198</t>
  </si>
  <si>
    <t>H 26728</t>
  </si>
  <si>
    <r>
      <t xml:space="preserve">EBENYE A TEBA EPSE KAMDOUM YVETTE </t>
    </r>
    <r>
      <rPr>
        <sz val="11"/>
        <color rgb="FFFF0000"/>
        <rFont val="Calibri"/>
        <family val="2"/>
        <scheme val="minor"/>
      </rPr>
      <t xml:space="preserve">  RED 900</t>
    </r>
  </si>
  <si>
    <t>CE 1741 Q</t>
  </si>
  <si>
    <t xml:space="preserve"> 60566-24011611261280</t>
  </si>
  <si>
    <t>H 26727</t>
  </si>
  <si>
    <r>
      <t xml:space="preserve">EBANDA ALIMA ANATOLE         </t>
    </r>
    <r>
      <rPr>
        <sz val="11"/>
        <color rgb="FFFF0000"/>
        <rFont val="Calibri"/>
        <family val="2"/>
        <scheme val="minor"/>
      </rPr>
      <t>RED 1235</t>
    </r>
  </si>
  <si>
    <t>CE 167 DI</t>
  </si>
  <si>
    <t>60566-24011611375935</t>
  </si>
  <si>
    <t>H 26726</t>
  </si>
  <si>
    <r>
      <t xml:space="preserve">MEKOUDJOU FEUKOU JUDITH FLORA    </t>
    </r>
    <r>
      <rPr>
        <sz val="11"/>
        <color rgb="FFFF0000"/>
        <rFont val="Calibri"/>
        <family val="2"/>
        <scheme val="minor"/>
      </rPr>
      <t xml:space="preserve"> RED 900</t>
    </r>
  </si>
  <si>
    <t>CE 461 KD</t>
  </si>
  <si>
    <t>60566-24011615163836</t>
  </si>
  <si>
    <t>H 26725</t>
  </si>
  <si>
    <t>KENNE HENRI MARCEL</t>
  </si>
  <si>
    <t>CETR 507 AE</t>
  </si>
  <si>
    <t>60566-24011616432746</t>
  </si>
  <si>
    <t>H 26724</t>
  </si>
  <si>
    <t>YOUSSOUFA DANG ADJIMI</t>
  </si>
  <si>
    <t>CESR 696 AD</t>
  </si>
  <si>
    <t>SOLDE DU 16/01/2024</t>
  </si>
  <si>
    <t>60566-24011707574847</t>
  </si>
  <si>
    <t>H 26723</t>
  </si>
  <si>
    <t>CETR 824 AE</t>
  </si>
  <si>
    <t xml:space="preserve"> 60566-24011709360913</t>
  </si>
  <si>
    <t>H 26722</t>
  </si>
  <si>
    <r>
      <t>WOUBENG VOUFO FRANCOIS</t>
    </r>
    <r>
      <rPr>
        <sz val="11"/>
        <color rgb="FFFF0000"/>
        <rFont val="Calibri"/>
        <family val="2"/>
        <scheme val="minor"/>
      </rPr>
      <t xml:space="preserve">  RED 900</t>
    </r>
  </si>
  <si>
    <t>CE 195 IX</t>
  </si>
  <si>
    <t xml:space="preserve"> 60566-24011710250879</t>
  </si>
  <si>
    <t>H 26721</t>
  </si>
  <si>
    <r>
      <t xml:space="preserve">SONNA ROMEYO ALEXE    </t>
    </r>
    <r>
      <rPr>
        <sz val="11"/>
        <color rgb="FFFF0000"/>
        <rFont val="Calibri"/>
        <family val="2"/>
        <scheme val="minor"/>
      </rPr>
      <t xml:space="preserve">  RED 900</t>
    </r>
  </si>
  <si>
    <t>CH 117686</t>
  </si>
  <si>
    <t xml:space="preserve"> 60566-24011712475220</t>
  </si>
  <si>
    <t>H 26720</t>
  </si>
  <si>
    <t>CESR 326 AD</t>
  </si>
  <si>
    <t xml:space="preserve"> 60566-24011714231626</t>
  </si>
  <si>
    <t>H 26719</t>
  </si>
  <si>
    <r>
      <t xml:space="preserve">NN BUSINESS SARL  </t>
    </r>
    <r>
      <rPr>
        <sz val="11"/>
        <color rgb="FFFF0000"/>
        <rFont val="Calibri"/>
        <family val="2"/>
        <scheme val="minor"/>
      </rPr>
      <t xml:space="preserve"> RED 1235</t>
    </r>
  </si>
  <si>
    <t>CETR 131 AE</t>
  </si>
  <si>
    <t>SOLDE DU 17/01/2024</t>
  </si>
  <si>
    <t xml:space="preserve"> 60566-24011808520715</t>
  </si>
  <si>
    <t>H 26718</t>
  </si>
  <si>
    <t>EBA EPSE MEBENGA SUZANE MICHELE</t>
  </si>
  <si>
    <t>CE 868 DC</t>
  </si>
  <si>
    <t xml:space="preserve"> 60566-24011809260499</t>
  </si>
  <si>
    <t>H 26717</t>
  </si>
  <si>
    <t>NGO TENLEP EMMA MIREILLE MIM</t>
  </si>
  <si>
    <t>LT 012 GB</t>
  </si>
  <si>
    <t xml:space="preserve"> 60566-24011810313337</t>
  </si>
  <si>
    <t>H 26716</t>
  </si>
  <si>
    <r>
      <t xml:space="preserve">ADAMOU ABBA                   </t>
    </r>
    <r>
      <rPr>
        <sz val="11"/>
        <color rgb="FFFF0000"/>
        <rFont val="Calibri"/>
        <family val="2"/>
        <scheme val="minor"/>
      </rPr>
      <t xml:space="preserve">  RED  1235</t>
    </r>
  </si>
  <si>
    <t>CH 012988</t>
  </si>
  <si>
    <t>60566-24011814484961</t>
  </si>
  <si>
    <t>H 26715</t>
  </si>
  <si>
    <t>TANYI MBIANYOR EPSE FOKWIN IRENE TABE</t>
  </si>
  <si>
    <t>CE 236 HY</t>
  </si>
  <si>
    <t xml:space="preserve"> 60566-24011814574319</t>
  </si>
  <si>
    <t>H 26714</t>
  </si>
  <si>
    <t>BOUKEGNI OMBIOGNIO BENOIT</t>
  </si>
  <si>
    <t>CE 263 MN</t>
  </si>
  <si>
    <t xml:space="preserve"> 60566-24011817540335</t>
  </si>
  <si>
    <t>H 26713</t>
  </si>
  <si>
    <r>
      <t>STE CAM TRANSP REPRESEN S.C.T.R SARL</t>
    </r>
    <r>
      <rPr>
        <sz val="11"/>
        <color rgb="FFFF0000"/>
        <rFont val="Calibri"/>
        <family val="2"/>
        <scheme val="minor"/>
      </rPr>
      <t xml:space="preserve"> RED  1235</t>
    </r>
  </si>
  <si>
    <t>LTTR 753 AI</t>
  </si>
  <si>
    <t>SOLDE DU 18/01/2024</t>
  </si>
  <si>
    <t xml:space="preserve"> 60566-24011909301629</t>
  </si>
  <si>
    <t>H 26710</t>
  </si>
  <si>
    <t>OSSOMBE ALBERT FREDDIE</t>
  </si>
  <si>
    <t>CE 391 KT</t>
  </si>
  <si>
    <t xml:space="preserve"> 60566-24011909504591</t>
  </si>
  <si>
    <t>H 26709</t>
  </si>
  <si>
    <t>NSANGOU ABOUBAKAR</t>
  </si>
  <si>
    <t>LT 448 JC</t>
  </si>
  <si>
    <t xml:space="preserve"> 60566-24011915511690</t>
  </si>
  <si>
    <t>H 26708</t>
  </si>
  <si>
    <r>
      <t xml:space="preserve">GASANA FELICIEN  </t>
    </r>
    <r>
      <rPr>
        <sz val="11"/>
        <color rgb="FFFF0000"/>
        <rFont val="Calibri"/>
        <family val="2"/>
        <scheme val="minor"/>
      </rPr>
      <t xml:space="preserve">  SUITE A L'EREUR COMMIS C</t>
    </r>
  </si>
  <si>
    <t>SOLDE DU 19/01/2024</t>
  </si>
  <si>
    <t xml:space="preserve"> 60566-24012007344522</t>
  </si>
  <si>
    <t>H 26707</t>
  </si>
  <si>
    <t>KEWE LAURE MARTINE</t>
  </si>
  <si>
    <t>CE 299 HL</t>
  </si>
  <si>
    <t xml:space="preserve"> 60566-24012009292346</t>
  </si>
  <si>
    <t>H 26706</t>
  </si>
  <si>
    <t>TCHINDA MERLAIN DECLAIR</t>
  </si>
  <si>
    <t>CE 057 MO</t>
  </si>
  <si>
    <t xml:space="preserve"> 60566-24012009471148</t>
  </si>
  <si>
    <t>H 26705</t>
  </si>
  <si>
    <t>VICTOR FOBUH OBANDE</t>
  </si>
  <si>
    <t>CE 414 LQ</t>
  </si>
  <si>
    <t>60566-24012013521989</t>
  </si>
  <si>
    <t>H 26704</t>
  </si>
  <si>
    <t>BITCHOKA ANSELME SIMEON</t>
  </si>
  <si>
    <t>CH 033393</t>
  </si>
  <si>
    <t>SOLDE DU 20/01/2024</t>
  </si>
  <si>
    <t xml:space="preserve"> 60566-24012209312069</t>
  </si>
  <si>
    <t>H 26703</t>
  </si>
  <si>
    <t>LA STE AGORA SHIPPING ET LOGIS</t>
  </si>
  <si>
    <t>CETR 831 AD</t>
  </si>
  <si>
    <t xml:space="preserve"> 60566-24012212021691</t>
  </si>
  <si>
    <t>H 26702</t>
  </si>
  <si>
    <t>WOMAJIE DJIKEUSSI DIANE JOVANITA</t>
  </si>
  <si>
    <t>LT 589 GM</t>
  </si>
  <si>
    <t xml:space="preserve"> 60566-24012213073152</t>
  </si>
  <si>
    <t>H 26701</t>
  </si>
  <si>
    <t>PONDI GUILLAUME</t>
  </si>
  <si>
    <t>CE 417 MH</t>
  </si>
  <si>
    <t xml:space="preserve"> 60566-24012217130745</t>
  </si>
  <si>
    <t>H 26700</t>
  </si>
  <si>
    <t>NGANGOM KOUEKAM</t>
  </si>
  <si>
    <t>CE 891 HB</t>
  </si>
  <si>
    <t>SOLDE DU 22/01/2024</t>
  </si>
  <si>
    <t xml:space="preserve"> 60566-24012310030859</t>
  </si>
  <si>
    <t>H 26699</t>
  </si>
  <si>
    <t>KOLO LOMO MICHEL PASCAL</t>
  </si>
  <si>
    <t>CE 938 NS</t>
  </si>
  <si>
    <t xml:space="preserve"> 60566-24012311042465</t>
  </si>
  <si>
    <t>H 26698</t>
  </si>
  <si>
    <t>FOUDJO TAFOPA ROMEO</t>
  </si>
  <si>
    <t>CE 208 MP</t>
  </si>
  <si>
    <t>60566-24012312375322</t>
  </si>
  <si>
    <t>H 26697</t>
  </si>
  <si>
    <t>ENYEGUE ENYEGUE MOISET</t>
  </si>
  <si>
    <t>CH 168896</t>
  </si>
  <si>
    <t xml:space="preserve"> 60566-24012315290034</t>
  </si>
  <si>
    <t>H 26696</t>
  </si>
  <si>
    <t>LTSR 558 AS</t>
  </si>
  <si>
    <t>SOLDE DU 23/01/2024</t>
  </si>
  <si>
    <t xml:space="preserve"> 60566-24012408585612</t>
  </si>
  <si>
    <t>H 26693</t>
  </si>
  <si>
    <t>OWONA JOSEPH</t>
  </si>
  <si>
    <t>CE 109 GK</t>
  </si>
  <si>
    <t xml:space="preserve"> 60566-24012412271866</t>
  </si>
  <si>
    <t>H 26692</t>
  </si>
  <si>
    <t>AYOUBA OUSSOUMANOU</t>
  </si>
  <si>
    <t>ADSR 942 AA</t>
  </si>
  <si>
    <t>60566-24012413324844</t>
  </si>
  <si>
    <t xml:space="preserve">H 26691 </t>
  </si>
  <si>
    <r>
      <t xml:space="preserve">AYOUBA OUSSOUMANOU </t>
    </r>
    <r>
      <rPr>
        <sz val="11"/>
        <color rgb="FFFF0000"/>
        <rFont val="Calibri"/>
        <family val="2"/>
        <scheme val="minor"/>
      </rPr>
      <t xml:space="preserve">  RED  1235</t>
    </r>
  </si>
  <si>
    <t>ADTR 026 AB</t>
  </si>
  <si>
    <t>60566-24012413364896</t>
  </si>
  <si>
    <t>H 26689</t>
  </si>
  <si>
    <t>MBAH TENE SEBASTIEN</t>
  </si>
  <si>
    <t>CE 851 KU</t>
  </si>
  <si>
    <t xml:space="preserve"> 60566-24012413464224</t>
  </si>
  <si>
    <t>H 26688</t>
  </si>
  <si>
    <t>MISSIONNAIRES CLARETAINS</t>
  </si>
  <si>
    <t>CE 990 GS</t>
  </si>
  <si>
    <t xml:space="preserve"> 60566-24012416050496</t>
  </si>
  <si>
    <t>H 26695</t>
  </si>
  <si>
    <r>
      <t xml:space="preserve">EDOUA NJUKE JOHN     </t>
    </r>
    <r>
      <rPr>
        <sz val="11"/>
        <color rgb="FFFF0000"/>
        <rFont val="Calibri"/>
        <family val="2"/>
        <scheme val="minor"/>
      </rPr>
      <t xml:space="preserve">  RED 900</t>
    </r>
  </si>
  <si>
    <t>CE 184 KS</t>
  </si>
  <si>
    <t>SOLDE DU 24/01/2024</t>
  </si>
  <si>
    <t xml:space="preserve"> 60566-24012508110888</t>
  </si>
  <si>
    <t>H 26687</t>
  </si>
  <si>
    <r>
      <t xml:space="preserve">DONFACK DONGMO AIME DIEUDONNE </t>
    </r>
    <r>
      <rPr>
        <sz val="11"/>
        <color rgb="FFFF0000"/>
        <rFont val="Calibri"/>
        <family val="2"/>
        <scheme val="minor"/>
      </rPr>
      <t xml:space="preserve">  RED 500</t>
    </r>
  </si>
  <si>
    <t>CE 450 LA</t>
  </si>
  <si>
    <t xml:space="preserve"> 60566-24012511502886</t>
  </si>
  <si>
    <t>H 26686</t>
  </si>
  <si>
    <r>
      <t xml:space="preserve">BONGSUIKA AMADOU  </t>
    </r>
    <r>
      <rPr>
        <sz val="11"/>
        <color rgb="FFFF0000"/>
        <rFont val="Calibri"/>
        <family val="2"/>
        <scheme val="minor"/>
      </rPr>
      <t xml:space="preserve"> RED 900</t>
    </r>
  </si>
  <si>
    <t>CE 886 GB</t>
  </si>
  <si>
    <t xml:space="preserve"> 60566-24012515291776</t>
  </si>
  <si>
    <t>H 26685</t>
  </si>
  <si>
    <r>
      <t xml:space="preserve">TALONCHERE JOSEPH   </t>
    </r>
    <r>
      <rPr>
        <sz val="11"/>
        <color rgb="FFFF0000"/>
        <rFont val="Calibri"/>
        <family val="2"/>
        <scheme val="minor"/>
      </rPr>
      <t xml:space="preserve"> RED 1235</t>
    </r>
  </si>
  <si>
    <t>LTSR 933 AQ</t>
  </si>
  <si>
    <t xml:space="preserve"> 60566-24012515482791</t>
  </si>
  <si>
    <t>H 26684</t>
  </si>
  <si>
    <t>SGBC LOCATAIRE ETS TALONCHERE</t>
  </si>
  <si>
    <t>LTTR 333 AF</t>
  </si>
  <si>
    <t xml:space="preserve"> 60566-24012616474978</t>
  </si>
  <si>
    <t>H 26683</t>
  </si>
  <si>
    <r>
      <t xml:space="preserve">FOUTE JEAN FLAUBERT </t>
    </r>
    <r>
      <rPr>
        <sz val="11"/>
        <color rgb="FFFF0000"/>
        <rFont val="Calibri"/>
        <family val="2"/>
        <scheme val="minor"/>
      </rPr>
      <t xml:space="preserve">  RED 1235</t>
    </r>
  </si>
  <si>
    <t>CH 002469</t>
  </si>
  <si>
    <t xml:space="preserve"> 60566-24012617235749</t>
  </si>
  <si>
    <t>H 26682</t>
  </si>
  <si>
    <r>
      <t xml:space="preserve">FOUTE JEAN FLAUBERT  </t>
    </r>
    <r>
      <rPr>
        <sz val="11"/>
        <color rgb="FFFF0000"/>
        <rFont val="Calibri"/>
        <family val="2"/>
        <scheme val="minor"/>
      </rPr>
      <t xml:space="preserve"> RED 1235</t>
    </r>
  </si>
  <si>
    <t>CH 770912</t>
  </si>
  <si>
    <t xml:space="preserve"> 60566-24012618473642</t>
  </si>
  <si>
    <t>H 26681</t>
  </si>
  <si>
    <r>
      <t xml:space="preserve">KPOUMIE ALIYOU   </t>
    </r>
    <r>
      <rPr>
        <sz val="11"/>
        <color rgb="FFFF0000"/>
        <rFont val="Calibri"/>
        <family val="2"/>
        <scheme val="minor"/>
      </rPr>
      <t xml:space="preserve"> RED 1235</t>
    </r>
  </si>
  <si>
    <t>LT 897 EF</t>
  </si>
  <si>
    <t>PAYE D' AVANCE  ( LE CLIENT VIENDRA DEMAIN)</t>
  </si>
  <si>
    <t>CE 996 LR</t>
  </si>
  <si>
    <t>SOLDE DU 26/01/2024</t>
  </si>
  <si>
    <t>60566-24012711235828</t>
  </si>
  <si>
    <t>H 26680</t>
  </si>
  <si>
    <t>CETR 575 AE</t>
  </si>
  <si>
    <t xml:space="preserve"> 60566-24012712552167</t>
  </si>
  <si>
    <t>H 26679</t>
  </si>
  <si>
    <t>BASSA EBONG DEYORRO</t>
  </si>
  <si>
    <t xml:space="preserve"> 60566-24012714134343</t>
  </si>
  <si>
    <t>H 26678</t>
  </si>
  <si>
    <r>
      <t xml:space="preserve">SHESTERFOR SECURITY SARL     </t>
    </r>
    <r>
      <rPr>
        <sz val="11"/>
        <color rgb="FFFF0000"/>
        <rFont val="Calibri"/>
        <family val="2"/>
        <scheme val="minor"/>
      </rPr>
      <t xml:space="preserve"> RED 500</t>
    </r>
  </si>
  <si>
    <t>CE 973 IK</t>
  </si>
  <si>
    <t>SOLDE DU 27/01/2024</t>
  </si>
  <si>
    <t>60566-24012915445959</t>
  </si>
  <si>
    <t>H 26677</t>
  </si>
  <si>
    <t>BUTRAF SARL</t>
  </si>
  <si>
    <t>NOSR 691 AA</t>
  </si>
  <si>
    <t xml:space="preserve"> 60566-24012916501983</t>
  </si>
  <si>
    <r>
      <t xml:space="preserve">MOUSSA RAMAT  </t>
    </r>
    <r>
      <rPr>
        <sz val="11"/>
        <color rgb="FFFF0000"/>
        <rFont val="Calibri"/>
        <family val="2"/>
        <scheme val="minor"/>
      </rPr>
      <t xml:space="preserve"> RED   1235</t>
    </r>
  </si>
  <si>
    <t>LTTR 130 AW</t>
  </si>
  <si>
    <t>SOLDE DU 29/01/2024</t>
  </si>
  <si>
    <t>60566-24013007551982</t>
  </si>
  <si>
    <t>H 26676</t>
  </si>
  <si>
    <r>
      <t xml:space="preserve">STE GROUPELA CONCORDE SARL </t>
    </r>
    <r>
      <rPr>
        <sz val="11"/>
        <color rgb="FFFF0000"/>
        <rFont val="Calibri"/>
        <family val="2"/>
        <scheme val="minor"/>
      </rPr>
      <t xml:space="preserve"> RED 1235</t>
    </r>
  </si>
  <si>
    <t>CH 865553</t>
  </si>
  <si>
    <t xml:space="preserve"> 60566-24013008413049</t>
  </si>
  <si>
    <t>H 26675</t>
  </si>
  <si>
    <r>
      <t xml:space="preserve">FOMEKONG FELICIEN   </t>
    </r>
    <r>
      <rPr>
        <sz val="11"/>
        <color rgb="FFFF0000"/>
        <rFont val="Calibri"/>
        <family val="2"/>
        <scheme val="minor"/>
      </rPr>
      <t xml:space="preserve">   </t>
    </r>
  </si>
  <si>
    <t>CE 489 FR</t>
  </si>
  <si>
    <t xml:space="preserve"> 60566-24013011135290</t>
  </si>
  <si>
    <t>H 26674</t>
  </si>
  <si>
    <t xml:space="preserve">LADO MELI ROMEO   </t>
  </si>
  <si>
    <t>CE 998 IC</t>
  </si>
  <si>
    <t xml:space="preserve"> 60566-24013011573737</t>
  </si>
  <si>
    <t>H 26673</t>
  </si>
  <si>
    <r>
      <t xml:space="preserve">SONGNAC EMMANUEL        </t>
    </r>
    <r>
      <rPr>
        <sz val="11"/>
        <color rgb="FFFF0000"/>
        <rFont val="Calibri"/>
        <family val="2"/>
        <scheme val="minor"/>
      </rPr>
      <t>RED 900</t>
    </r>
  </si>
  <si>
    <t>CH 030321</t>
  </si>
  <si>
    <t xml:space="preserve"> 60566-24013013240713</t>
  </si>
  <si>
    <t>H 26672</t>
  </si>
  <si>
    <t>CREDIT COMMUNAUTAIRE D AFRIQUE ( CCA)</t>
  </si>
  <si>
    <t>CE 889 DT</t>
  </si>
  <si>
    <t>60566-24013013363269</t>
  </si>
  <si>
    <t>H 26671</t>
  </si>
  <si>
    <r>
      <t>KAMGA EBENEZER</t>
    </r>
    <r>
      <rPr>
        <sz val="11"/>
        <color rgb="FFFF0000"/>
        <rFont val="Calibri"/>
        <family val="2"/>
        <scheme val="minor"/>
      </rPr>
      <t xml:space="preserve">   RED 500</t>
    </r>
  </si>
  <si>
    <t>LT 585 ID</t>
  </si>
  <si>
    <t xml:space="preserve"> 60566-24013014431613</t>
  </si>
  <si>
    <t>H 26670</t>
  </si>
  <si>
    <r>
      <t xml:space="preserve">FOMEKONG INNOCENT       </t>
    </r>
    <r>
      <rPr>
        <sz val="11"/>
        <color rgb="FFFF0000"/>
        <rFont val="Calibri"/>
        <family val="2"/>
        <scheme val="minor"/>
      </rPr>
      <t xml:space="preserve"> RED 1235</t>
    </r>
  </si>
  <si>
    <t>CE 802 ND</t>
  </si>
  <si>
    <t xml:space="preserve"> 60566-24013015582589</t>
  </si>
  <si>
    <t>H 26669</t>
  </si>
  <si>
    <t>RONAX INVEST SARL</t>
  </si>
  <si>
    <t>CE 881 JG</t>
  </si>
  <si>
    <t>60566-24013016170660</t>
  </si>
  <si>
    <t>H 26668</t>
  </si>
  <si>
    <r>
      <t xml:space="preserve">NGOUNE ALEXIS    </t>
    </r>
    <r>
      <rPr>
        <sz val="11"/>
        <color rgb="FFFF0000"/>
        <rFont val="Calibri"/>
        <family val="2"/>
        <scheme val="minor"/>
      </rPr>
      <t xml:space="preserve"> RED 900</t>
    </r>
  </si>
  <si>
    <t>CH 033004</t>
  </si>
  <si>
    <t xml:space="preserve"> 60566-24013016255081</t>
  </si>
  <si>
    <t>H 26667</t>
  </si>
  <si>
    <t>NJANGANG CLAUDICE</t>
  </si>
  <si>
    <t>CE 499 MN</t>
  </si>
  <si>
    <t xml:space="preserve"> 60566-24013016513598</t>
  </si>
  <si>
    <t>H 26666</t>
  </si>
  <si>
    <r>
      <t xml:space="preserve">SOGOPROCAM SARL </t>
    </r>
    <r>
      <rPr>
        <sz val="11"/>
        <color rgb="FFFF0000"/>
        <rFont val="Calibri"/>
        <family val="2"/>
        <scheme val="minor"/>
      </rPr>
      <t xml:space="preserve">  RED 1235</t>
    </r>
  </si>
  <si>
    <t>LT 240 CX</t>
  </si>
  <si>
    <t>SOLDE DU 30/01/2024</t>
  </si>
  <si>
    <t xml:space="preserve"> 60566-24013111433626</t>
  </si>
  <si>
    <t>H 26665</t>
  </si>
  <si>
    <t>DJOUSSE RONIS</t>
  </si>
  <si>
    <t>CE 956 JI</t>
  </si>
  <si>
    <t xml:space="preserve"> 60566-24013116030630</t>
  </si>
  <si>
    <t>H 26664</t>
  </si>
  <si>
    <t>NGOUFACK TEOPHILE</t>
  </si>
  <si>
    <t>CE 359 LX</t>
  </si>
  <si>
    <t>SOLDE DU 31/01/2024</t>
  </si>
  <si>
    <t xml:space="preserve">                                                                       LISTING DE CAISSE  JANVIER 2024</t>
  </si>
  <si>
    <t>Recette</t>
  </si>
  <si>
    <t>cnps</t>
  </si>
  <si>
    <t>Depense Maeva</t>
  </si>
  <si>
    <t>Gazoil</t>
  </si>
  <si>
    <t>Loyer  Magazin</t>
  </si>
  <si>
    <t>quincaillerie</t>
  </si>
  <si>
    <t>Extincteur</t>
  </si>
  <si>
    <t>Flyers</t>
  </si>
  <si>
    <t>Silas</t>
  </si>
  <si>
    <t>Total</t>
  </si>
  <si>
    <t>account 5.5% du CA</t>
  </si>
  <si>
    <t>chiffre d'affaire=</t>
  </si>
  <si>
    <t>Danny</t>
  </si>
  <si>
    <t>Zeilenbeschriftungen</t>
  </si>
  <si>
    <t>Gesamtergebnis</t>
  </si>
  <si>
    <t>Anzahl von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</si>
</sst>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5" xfId="0" applyBorder="1"/>
    <xf numFmtId="14" fontId="0" fillId="0" borderId="5" xfId="0" applyNumberFormat="1" applyBorder="1"/>
    <xf numFmtId="11" fontId="2" fillId="2" borderId="4" xfId="0" applyNumberFormat="1" applyFont="1" applyFill="1" applyBorder="1"/>
    <xf numFmtId="0" fontId="2" fillId="2" borderId="4" xfId="0" applyFont="1" applyFill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165" fontId="0" fillId="0" borderId="5" xfId="0" applyNumberFormat="1" applyBorder="1"/>
    <xf numFmtId="165" fontId="0" fillId="4" borderId="5" xfId="0" applyNumberFormat="1" applyFill="1" applyBorder="1"/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0" fontId="0" fillId="3" borderId="5" xfId="0" applyFill="1" applyBorder="1"/>
    <xf numFmtId="165" fontId="0" fillId="3" borderId="5" xfId="0" applyNumberFormat="1" applyFill="1" applyBorder="1"/>
    <xf numFmtId="14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/>
    <xf numFmtId="0" fontId="0" fillId="5" borderId="5" xfId="0" applyFill="1" applyBorder="1"/>
    <xf numFmtId="165" fontId="0" fillId="5" borderId="5" xfId="0" applyNumberFormat="1" applyFill="1" applyBorder="1"/>
    <xf numFmtId="0" fontId="0" fillId="0" borderId="5" xfId="0" applyBorder="1" applyAlignment="1">
      <alignment horizontal="center"/>
    </xf>
    <xf numFmtId="0" fontId="4" fillId="4" borderId="5" xfId="0" applyFont="1" applyFill="1" applyBorder="1"/>
    <xf numFmtId="0" fontId="0" fillId="0" borderId="5" xfId="0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0" fontId="0" fillId="0" borderId="4" xfId="0" applyBorder="1" applyAlignment="1">
      <alignment horizontal="center" vertical="center"/>
    </xf>
    <xf numFmtId="165" fontId="2" fillId="2" borderId="4" xfId="2" applyNumberFormat="1" applyFont="1" applyFill="1" applyBorder="1"/>
    <xf numFmtId="165" fontId="0" fillId="0" borderId="6" xfId="2" applyNumberFormat="1" applyFont="1" applyBorder="1"/>
    <xf numFmtId="165" fontId="0" fillId="0" borderId="5" xfId="2" applyNumberFormat="1" applyFont="1" applyBorder="1"/>
    <xf numFmtId="165" fontId="0" fillId="0" borderId="5" xfId="2" applyNumberFormat="1" applyFont="1" applyBorder="1" applyAlignment="1">
      <alignment vertical="center"/>
    </xf>
    <xf numFmtId="165" fontId="0" fillId="4" borderId="5" xfId="2" applyNumberFormat="1" applyFont="1" applyFill="1" applyBorder="1" applyAlignment="1">
      <alignment vertical="center"/>
    </xf>
    <xf numFmtId="165" fontId="0" fillId="5" borderId="5" xfId="2" applyNumberFormat="1" applyFont="1" applyFill="1" applyBorder="1" applyAlignment="1">
      <alignment vertical="center"/>
    </xf>
    <xf numFmtId="165" fontId="0" fillId="4" borderId="5" xfId="2" applyNumberFormat="1" applyFont="1" applyFill="1" applyBorder="1"/>
    <xf numFmtId="165" fontId="0" fillId="0" borderId="5" xfId="2" applyNumberFormat="1" applyFont="1" applyBorder="1" applyAlignment="1">
      <alignment horizontal="center"/>
    </xf>
    <xf numFmtId="165" fontId="0" fillId="0" borderId="5" xfId="2" applyNumberFormat="1" applyFont="1" applyBorder="1" applyAlignment="1">
      <alignment horizontal="center" vertical="center"/>
    </xf>
    <xf numFmtId="165" fontId="0" fillId="0" borderId="6" xfId="2" applyNumberFormat="1" applyFont="1" applyBorder="1" applyAlignment="1">
      <alignment vertical="center"/>
    </xf>
    <xf numFmtId="165" fontId="2" fillId="0" borderId="5" xfId="0" applyNumberFormat="1" applyFont="1" applyBorder="1"/>
    <xf numFmtId="0" fontId="0" fillId="3" borderId="6" xfId="0" applyFill="1" applyBorder="1"/>
    <xf numFmtId="165" fontId="2" fillId="4" borderId="6" xfId="0" applyNumberFormat="1" applyFont="1" applyFill="1" applyBorder="1"/>
    <xf numFmtId="165" fontId="2" fillId="4" borderId="0" xfId="0" applyNumberFormat="1" applyFont="1" applyFill="1"/>
    <xf numFmtId="165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7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</cellXfs>
  <cellStyles count="3">
    <cellStyle name="Comma" xfId="2" builtinId="3"/>
    <cellStyle name="Milliers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[ETATS  MENSUEL DE JAN2024.xlsx]Statistique!PivotTable1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Statistique!$B$3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Statistique!$A$4:$A$9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B1</c:v>
                </c:pt>
                <c:pt idx="3">
                  <c:v>C</c:v>
                </c:pt>
                <c:pt idx="4">
                  <c:v>D</c:v>
                </c:pt>
              </c:strCache>
            </c:strRef>
          </c:cat>
          <c:val>
            <c:numRef>
              <c:f>Statistique!$B$4:$B$9</c:f>
              <c:numCache>
                <c:formatCode>0.00%</c:formatCode>
                <c:ptCount val="5"/>
                <c:pt idx="0">
                  <c:v>5.6451612903225805E-2</c:v>
                </c:pt>
                <c:pt idx="1">
                  <c:v>0.46774193548387094</c:v>
                </c:pt>
                <c:pt idx="2">
                  <c:v>8.0645161290322578E-2</c:v>
                </c:pt>
                <c:pt idx="3">
                  <c:v>2.4193548387096774E-2</c:v>
                </c:pt>
                <c:pt idx="4">
                  <c:v>0.37096774193548387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4-4ADA-B0BC-AE2657B3C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1215272"/>
        <c:axId val="921215632"/>
      </c:barChart>
      <c:catAx>
        <c:axId val="92121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1215632"/>
        <c:crosses val="autoZero"/>
        <c:auto val="1"/>
        <c:lblAlgn val="ctr"/>
        <c:lblOffset val="100"/>
        <c:noMultiLvlLbl val="0"/>
      </c:catAx>
      <c:valAx>
        <c:axId val="92121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121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776287</xdr:colOff>
      <xdr:row>0</xdr:row>
      <xdr:rowOff>61912</xdr:rowOff>
    </xdr:from>
    <xdr:to>
      <xdr:col>10</xdr:col>
      <xdr:colOff>528637</xdr:colOff>
      <xdr:row>14</xdr:row>
      <xdr:rowOff>138112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4A4184E-C5C0-DB30-6F4B-01E7C5C16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les Tanko Tchuindjang" refreshedDate="45386.71944050926" createdVersion="8" refreshedVersion="8" minRefreshableVersion="3" recordCount="124" xr:uid="{3E250932-0844-43B3-B9C7-BBE05D2F8A34}">
  <cacheSource type="worksheet">
    <worksheetSource ref="A2:N126" sheet="Transformé"/>
  </cacheSource>
  <cacheFields count="14">
    <cacheField name="DATE" numFmtId="14">
      <sharedItems containsSemiMixedTypes="0" containsNonDate="0" containsDate="1" containsString="0" minDate="2024-01-02T00:00:00" maxDate="2024-02-01T00:00:00" count="26"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5T00:00:00"/>
        <d v="2024-01-16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5T00:00:00"/>
        <d v="2024-01-26T00:00:00"/>
        <d v="2024-01-27T00:00:00"/>
        <d v="2024-01-29T00:00:00"/>
        <d v="2024-01-30T00:00:00"/>
        <d v="2024-01-31T00:00:00"/>
      </sharedItems>
    </cacheField>
    <cacheField name="ACCEPTE" numFmtId="0">
      <sharedItems containsString="0" containsBlank="1" containsNumber="1" containsInteger="1" minValue="1" maxValue="1" count="2">
        <n v="1"/>
        <m/>
      </sharedItems>
    </cacheField>
    <cacheField name="REFUS" numFmtId="0">
      <sharedItems containsSemiMixedTypes="0" containsString="0" containsNumber="1" containsInteger="1" minValue="0" maxValue="1" count="2">
        <n v="0"/>
        <n v="1"/>
      </sharedItems>
    </cacheField>
    <cacheField name="N° PV" numFmtId="0">
      <sharedItems containsBlank="1" count="124">
        <s v="60566-24010213282424"/>
        <s v="60566-24010213432330"/>
        <s v=" 60566-24010215091693"/>
        <s v=" 60566-24010312150610"/>
        <s v=" 60566-24010312422753"/>
        <s v=" 60566-24010313255839"/>
        <s v="60566-24010314001477"/>
        <s v=" 60566-24010315473856"/>
        <s v=" 60566-24010409072230"/>
        <s v="60566-24010412223353"/>
        <s v="60566-24010412261486"/>
        <s v=" 60566-24010414133353"/>
        <s v=" 60566-24010414293351"/>
        <s v="60566-24010415523892"/>
        <s v=" 60566-24010416342529"/>
        <s v=" 60566-24010508194823"/>
        <s v=" 60566-24010511581187"/>
        <s v=" 60566-24010513455971"/>
        <s v=" 60566-24010513580185"/>
        <s v=" 60566-24010516034838"/>
        <s v="60566-24010517171823"/>
        <s v="60566-24010608042688"/>
        <s v=" 60566-24010608151980"/>
        <s v=" 60566-24010808013788"/>
        <s v=" 60566-24010809120240"/>
        <s v=" 60566-24010812175199"/>
        <s v=" 60566-24010813130469"/>
        <s v=" 60566-24010816325912"/>
        <s v="60566-24010911045518"/>
        <s v=" 60566-24010911552221"/>
        <s v=" 60566-24011009550167"/>
        <s v="60566-24011012052266"/>
        <s v=" 60566-24011012163716"/>
        <s v=" 60566-24011013031763"/>
        <s v=" 60566-24011013242847"/>
        <s v="60566-24011107173024"/>
        <s v=" 60566-24011107514814"/>
        <s v=" 60566-24011108220795"/>
        <s v=" 60566-24011108435654"/>
        <s v=" 60566-24011109025882"/>
        <s v=" 60566-24011111055463"/>
        <s v="60566-24011117275890"/>
        <s v=" 60566-24011208222549"/>
        <s v=" 60566-24011208461053"/>
        <s v=" 60566-24011209350127"/>
        <s v=" 60566-24011209493295"/>
        <s v=" 60566-24011215050744"/>
        <s v=" 60566-24011307555240"/>
        <s v=" 60566-24011310163570"/>
        <s v=" 60566-24011311172524"/>
        <s v=" 60566-24011314041642"/>
        <s v=" 60566-24011314485779"/>
        <s v=" 60566-24011315141789"/>
        <s v="60566-24011316473515"/>
        <s v=" 60566-24011508140832"/>
        <s v="60566-24011508321893"/>
        <s v=" 60566-24011512241277"/>
        <s v="60566-24011513445235"/>
        <s v=" 60566-24011513562864"/>
        <s v="60566-24011514281623"/>
        <s v=" 60566-24011609045380"/>
        <s v=" 60566-24011609220198"/>
        <s v=" 60566-24011611261280"/>
        <s v="60566-24011611375935"/>
        <s v="60566-24011615163836"/>
        <s v="60566-24011616432746"/>
        <s v="60566-24011707574847"/>
        <s v=" 60566-24011709360913"/>
        <s v=" 60566-24011710250879"/>
        <s v=" 60566-24011712475220"/>
        <s v=" 60566-24011714231626"/>
        <s v=" 60566-24011808520715"/>
        <s v=" 60566-24011809260499"/>
        <s v=" 60566-24011810313337"/>
        <s v="60566-24011814484961"/>
        <s v=" 60566-24011814574319"/>
        <s v=" 60566-24011817540335"/>
        <s v=" 60566-24011909301629"/>
        <s v=" 60566-24011909504591"/>
        <s v=" 60566-24011915511690"/>
        <s v=" 60566-24012007344522"/>
        <s v=" 60566-24012009292346"/>
        <s v=" 60566-24012009471148"/>
        <s v="60566-24012013521989"/>
        <s v=" 60566-24012209312069"/>
        <s v=" 60566-24012212021691"/>
        <s v=" 60566-24012213073152"/>
        <s v=" 60566-24012217130745"/>
        <s v=" 60566-24012310030859"/>
        <s v=" 60566-24012311042465"/>
        <s v="60566-24012312375322"/>
        <s v=" 60566-24012315290034"/>
        <s v=" 60566-24012408585612"/>
        <s v=" 60566-24012412271866"/>
        <s v="60566-24012413324844"/>
        <s v="60566-24012413364896"/>
        <s v=" 60566-24012413464224"/>
        <s v=" 60566-24012416050496"/>
        <s v=" 60566-24012508110888"/>
        <s v=" 60566-24012511502886"/>
        <s v=" 60566-24012515291776"/>
        <s v=" 60566-24012515482791"/>
        <s v=" 60566-24012616474978"/>
        <s v=" 60566-24012617235749"/>
        <s v=" 60566-24012618473642"/>
        <m/>
        <s v="60566-24012711235828"/>
        <s v=" 60566-24012712552167"/>
        <s v=" 60566-24012714134343"/>
        <s v="60566-24012915445959"/>
        <s v=" 60566-24012916501983"/>
        <s v="60566-24013007551982"/>
        <s v=" 60566-24013008413049"/>
        <s v=" 60566-24013011135290"/>
        <s v=" 60566-24013011573737"/>
        <s v=" 60566-24013013240713"/>
        <s v="60566-24013013363269"/>
        <s v=" 60566-24013014431613"/>
        <s v=" 60566-24013015582589"/>
        <s v="60566-24013016170660"/>
        <s v=" 60566-24013016255081"/>
        <s v=" 60566-24013016513598"/>
        <s v=" 60566-24013111433626"/>
        <s v=" 60566-24013116030630"/>
      </sharedItems>
    </cacheField>
    <cacheField name="N° SCELLES" numFmtId="0">
      <sharedItems containsBlank="1"/>
    </cacheField>
    <cacheField name="DESCRIPTIONS" numFmtId="0">
      <sharedItems/>
    </cacheField>
    <cacheField name="C/CV" numFmtId="0">
      <sharedItems count="1">
        <s v="C"/>
      </sharedItems>
    </cacheField>
    <cacheField name="IMMATRI" numFmtId="0">
      <sharedItems/>
    </cacheField>
    <cacheField name="CONTACT" numFmtId="0">
      <sharedItems containsString="0" containsBlank="1" containsNumber="1" containsInteger="1" minValue="650337690" maxValue="699978387"/>
    </cacheField>
    <cacheField name="CAT" numFmtId="0">
      <sharedItems count="5">
        <s v="B1"/>
        <s v="B"/>
        <s v="D"/>
        <s v="A"/>
        <s v="C"/>
      </sharedItems>
    </cacheField>
    <cacheField name="DATE P.V" numFmtId="0">
      <sharedItems containsNonDate="0" containsDate="1" containsString="0" containsBlank="1" minDate="2024-04-03T00:00:00" maxDate="2025-02-01T00:00:00"/>
    </cacheField>
    <cacheField name="pht" numFmtId="0">
      <sharedItems containsSemiMixedTypes="0" containsString="0" containsNumber="1" containsInteger="1" minValue="0" maxValue="22001"/>
    </cacheField>
    <cacheField name="TVA" numFmtId="0">
      <sharedItems containsSemiMixedTypes="0" containsString="0" containsNumber="1" containsInteger="1" minValue="0" maxValue="4234"/>
    </cacheField>
    <cacheField name="PTTC" numFmtId="0">
      <sharedItems containsSemiMixedTypes="0" containsString="0" containsNumber="1" containsInteger="1" minValue="0" maxValue="262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x v="0"/>
    <x v="0"/>
    <s v="H 26788"/>
    <s v="ENVIRON RECHER ACTION CAMEROON"/>
    <x v="0"/>
    <s v="CE 2942 Z"/>
    <n v="682640870"/>
    <x v="0"/>
    <d v="2024-07-02T00:00:00"/>
    <n v="12998"/>
    <n v="2502"/>
    <n v="15500"/>
  </r>
  <r>
    <x v="0"/>
    <x v="0"/>
    <x v="0"/>
    <x v="1"/>
    <s v="H 26787"/>
    <s v="BA-INCAM &amp; SONS; COMPANY LTD B.C &amp; S"/>
    <x v="0"/>
    <s v="CE 483 MB"/>
    <n v="691892537"/>
    <x v="1"/>
    <d v="2025-01-02T00:00:00"/>
    <n v="15011"/>
    <n v="2889"/>
    <n v="17900"/>
  </r>
  <r>
    <x v="0"/>
    <x v="0"/>
    <x v="0"/>
    <x v="2"/>
    <s v="H 26786"/>
    <s v="POUNTI NGINGI MOUHAMAD ( ETS TRANS P.PM"/>
    <x v="0"/>
    <s v="LTTR 711 AY"/>
    <n v="656596673"/>
    <x v="2"/>
    <d v="2024-07-02T00:00:00"/>
    <n v="22001"/>
    <n v="4234"/>
    <n v="26235"/>
  </r>
  <r>
    <x v="1"/>
    <x v="0"/>
    <x v="0"/>
    <x v="3"/>
    <s v="H 26785"/>
    <s v="ALIOS FIN CAM LOC CONSTRUC.CARROS.MEN"/>
    <x v="0"/>
    <s v="LTTR 468 AR"/>
    <n v="657788392"/>
    <x v="2"/>
    <d v="2024-07-03T00:00:00"/>
    <n v="22001"/>
    <n v="4234"/>
    <n v="26235"/>
  </r>
  <r>
    <x v="1"/>
    <x v="0"/>
    <x v="0"/>
    <x v="4"/>
    <s v="H 26784"/>
    <s v="AMBOROMO A YAKAN MOISE JOSEPH"/>
    <x v="0"/>
    <s v="CE 223 IU"/>
    <n v="679783389"/>
    <x v="1"/>
    <d v="2025-01-03T00:00:00"/>
    <n v="15011"/>
    <n v="2889"/>
    <n v="17900"/>
  </r>
  <r>
    <x v="1"/>
    <x v="0"/>
    <x v="0"/>
    <x v="5"/>
    <s v="H 26783"/>
    <s v="LIKANE GUY CHARLES              RED 400"/>
    <x v="0"/>
    <s v="CE 574 ME"/>
    <n v="683996017"/>
    <x v="3"/>
    <d v="2024-04-03T00:00:00"/>
    <n v="3774"/>
    <n v="726"/>
    <n v="4500"/>
  </r>
  <r>
    <x v="1"/>
    <x v="0"/>
    <x v="0"/>
    <x v="6"/>
    <s v="H 26782"/>
    <s v="FORCHEH EDWARD NCHENDIA"/>
    <x v="0"/>
    <s v="SW 772 BG"/>
    <n v="671102929"/>
    <x v="1"/>
    <d v="2025-01-02T00:00:00"/>
    <n v="15011"/>
    <n v="2889"/>
    <n v="17900"/>
  </r>
  <r>
    <x v="1"/>
    <x v="0"/>
    <x v="0"/>
    <x v="7"/>
    <s v="H 26781"/>
    <s v="DONGMO ZEBAZE ISABELLE LANDRY"/>
    <x v="0"/>
    <s v="CE 957 KQ"/>
    <n v="677774028"/>
    <x v="1"/>
    <d v="2025-01-02T00:00:00"/>
    <n v="15011"/>
    <n v="2889"/>
    <n v="17900"/>
  </r>
  <r>
    <x v="2"/>
    <x v="0"/>
    <x v="0"/>
    <x v="8"/>
    <s v="H 26780"/>
    <s v="IMEXTRA SARL"/>
    <x v="0"/>
    <s v="LTTR 391 AX"/>
    <n v="697669188"/>
    <x v="2"/>
    <d v="2024-07-04T00:00:00"/>
    <n v="22001"/>
    <n v="4234"/>
    <n v="26235"/>
  </r>
  <r>
    <x v="2"/>
    <x v="0"/>
    <x v="0"/>
    <x v="9"/>
    <s v="H 26779"/>
    <s v="IMEXTRA SARL"/>
    <x v="0"/>
    <s v="LTSR 334 AY"/>
    <n v="697669188"/>
    <x v="2"/>
    <d v="2024-07-04T00:00:00"/>
    <n v="22001"/>
    <n v="4234"/>
    <n v="26235"/>
  </r>
  <r>
    <x v="2"/>
    <x v="0"/>
    <x v="0"/>
    <x v="10"/>
    <s v="H 26778"/>
    <s v="LISSOCK SIMON FREDERICK       RED 900"/>
    <x v="0"/>
    <s v="CE 014 JN"/>
    <n v="678641857"/>
    <x v="1"/>
    <d v="2025-01-04T00:00:00"/>
    <n v="14256"/>
    <n v="2744"/>
    <n v="17000"/>
  </r>
  <r>
    <x v="2"/>
    <x v="0"/>
    <x v="0"/>
    <x v="11"/>
    <s v="H 26777"/>
    <s v="ESSEYI ALPHONSE DANIEL             RED 900"/>
    <x v="0"/>
    <s v="CE 344 FO"/>
    <n v="699328088"/>
    <x v="1"/>
    <d v="2025-01-04T00:00:00"/>
    <n v="14256"/>
    <n v="2744"/>
    <n v="17000"/>
  </r>
  <r>
    <x v="2"/>
    <x v="0"/>
    <x v="0"/>
    <x v="12"/>
    <s v="H 26776"/>
    <s v="EMA JEAN PASCAL"/>
    <x v="0"/>
    <s v="CE 830 LA"/>
    <n v="673337164"/>
    <x v="0"/>
    <d v="2024-07-04T00:00:00"/>
    <n v="12998"/>
    <n v="2502"/>
    <n v="15500"/>
  </r>
  <r>
    <x v="2"/>
    <x v="0"/>
    <x v="0"/>
    <x v="13"/>
    <s v="H 26775"/>
    <s v="NGONO ZIBI CLARICE HERMINE"/>
    <x v="0"/>
    <s v="CH 038610"/>
    <n v="672609163"/>
    <x v="1"/>
    <d v="2024-07-04T00:00:00"/>
    <n v="15011"/>
    <n v="2889"/>
    <n v="17900"/>
  </r>
  <r>
    <x v="2"/>
    <x v="0"/>
    <x v="0"/>
    <x v="14"/>
    <s v="H 26774"/>
    <s v="AKAME NANKO TRACY MAGUY   RED 400"/>
    <x v="0"/>
    <s v="CE 889 NB"/>
    <n v="693792523"/>
    <x v="3"/>
    <d v="2024-04-04T00:00:00"/>
    <n v="3774"/>
    <n v="726"/>
    <n v="4500"/>
  </r>
  <r>
    <x v="3"/>
    <x v="0"/>
    <x v="0"/>
    <x v="15"/>
    <s v="H 26773"/>
    <s v="ATANGANA GEORGETTE AYALBERT  RED 400"/>
    <x v="0"/>
    <s v="CE 442 FX"/>
    <n v="675853415"/>
    <x v="3"/>
    <d v="2024-04-05T00:00:00"/>
    <n v="3774"/>
    <n v="726"/>
    <n v="4500"/>
  </r>
  <r>
    <x v="3"/>
    <x v="0"/>
    <x v="0"/>
    <x v="16"/>
    <s v="H 26772"/>
    <s v="AKEZAMEZING AKONANG EPSE TCHOU SYMPHONIE RED 900"/>
    <x v="0"/>
    <s v="LT 442 JS"/>
    <n v="675279838"/>
    <x v="1"/>
    <d v="2025-01-05T00:00:00"/>
    <n v="14256"/>
    <n v="2744"/>
    <n v="17000"/>
  </r>
  <r>
    <x v="3"/>
    <x v="0"/>
    <x v="0"/>
    <x v="17"/>
    <s v="H 26771"/>
    <s v="TSAMO BIDIACE"/>
    <x v="0"/>
    <s v="CETR 871 AB"/>
    <n v="694040458"/>
    <x v="2"/>
    <d v="2024-07-05T00:00:00"/>
    <n v="22001"/>
    <n v="4234"/>
    <n v="26235"/>
  </r>
  <r>
    <x v="3"/>
    <x v="0"/>
    <x v="0"/>
    <x v="18"/>
    <s v="H 26770"/>
    <s v="TSAMO BIDIACE"/>
    <x v="0"/>
    <s v="CESR 545 AB"/>
    <n v="694040458"/>
    <x v="2"/>
    <d v="2024-07-05T00:00:00"/>
    <n v="22001"/>
    <n v="4234"/>
    <n v="26235"/>
  </r>
  <r>
    <x v="3"/>
    <x v="0"/>
    <x v="0"/>
    <x v="19"/>
    <s v="H 26769"/>
    <s v="PETRO SCES &amp; LOGISTIQUE"/>
    <x v="0"/>
    <s v="LTSR 115 AS"/>
    <n v="692077013"/>
    <x v="2"/>
    <d v="2024-07-05T00:00:00"/>
    <n v="22001"/>
    <n v="4234"/>
    <n v="26235"/>
  </r>
  <r>
    <x v="3"/>
    <x v="0"/>
    <x v="0"/>
    <x v="20"/>
    <s v="H 26768 "/>
    <s v="LA CHOPE SARL"/>
    <x v="0"/>
    <s v="CE 611 JM"/>
    <n v="691886080"/>
    <x v="2"/>
    <d v="2024-07-05T00:00:00"/>
    <n v="22001"/>
    <n v="4234"/>
    <n v="26235"/>
  </r>
  <r>
    <x v="4"/>
    <x v="0"/>
    <x v="0"/>
    <x v="21"/>
    <s v="H 26767"/>
    <s v="NGUM CHINA MORINE   RED 900"/>
    <x v="0"/>
    <s v="LT 650 KS"/>
    <n v="675043957"/>
    <x v="1"/>
    <d v="2025-01-06T00:00:00"/>
    <n v="14256"/>
    <n v="2744"/>
    <n v="17000"/>
  </r>
  <r>
    <x v="4"/>
    <x v="0"/>
    <x v="0"/>
    <x v="22"/>
    <s v="H 26766"/>
    <s v="QUINCAILLERIE NOBLE SARL      RED 1235"/>
    <x v="0"/>
    <s v="CE 305 KH"/>
    <n v="678913314"/>
    <x v="2"/>
    <d v="2024-07-06T00:00:00"/>
    <n v="20965"/>
    <n v="4035"/>
    <n v="25000"/>
  </r>
  <r>
    <x v="5"/>
    <x v="0"/>
    <x v="0"/>
    <x v="23"/>
    <s v="H 26765"/>
    <s v="TCHOUENYIM SIMO ALAIN     RED 500"/>
    <x v="0"/>
    <s v="AD 018 AR"/>
    <n v="675786780"/>
    <x v="0"/>
    <d v="2024-07-08T00:00:00"/>
    <n v="12579"/>
    <n v="2421"/>
    <n v="15000"/>
  </r>
  <r>
    <x v="5"/>
    <x v="0"/>
    <x v="0"/>
    <x v="24"/>
    <s v="H 26764"/>
    <s v="ABEGA FRANCINE ELODIE"/>
    <x v="0"/>
    <s v="CE 319 ID"/>
    <n v="674340088"/>
    <x v="1"/>
    <d v="2025-01-08T00:00:00"/>
    <n v="15011"/>
    <n v="2889"/>
    <n v="17900"/>
  </r>
  <r>
    <x v="5"/>
    <x v="0"/>
    <x v="0"/>
    <x v="25"/>
    <s v="H 26763"/>
    <s v="TANG SOMO ALAIN LEBEL"/>
    <x v="0"/>
    <s v="LT 131 FH"/>
    <n v="697031534"/>
    <x v="1"/>
    <d v="2025-01-08T00:00:00"/>
    <n v="15011"/>
    <n v="2889"/>
    <n v="17900"/>
  </r>
  <r>
    <x v="5"/>
    <x v="0"/>
    <x v="0"/>
    <x v="26"/>
    <s v="H 26762"/>
    <s v="MFEGUE MIMBOE    RED 900"/>
    <x v="0"/>
    <s v="CE 513 LF"/>
    <n v="694588525"/>
    <x v="1"/>
    <d v="2025-01-08T00:00:00"/>
    <n v="14256"/>
    <n v="2744"/>
    <n v="17000"/>
  </r>
  <r>
    <x v="5"/>
    <x v="0"/>
    <x v="0"/>
    <x v="27"/>
    <s v="H 26761"/>
    <s v="NEGOU TCHINDA BERTIN      RED 400"/>
    <x v="0"/>
    <s v="CE 309 MY"/>
    <n v="676381040"/>
    <x v="3"/>
    <d v="2024-04-08T00:00:00"/>
    <n v="3774"/>
    <n v="726"/>
    <n v="4500"/>
  </r>
  <r>
    <x v="6"/>
    <x v="0"/>
    <x v="0"/>
    <x v="28"/>
    <s v="H 26760"/>
    <s v="NN BUSINESS SARL"/>
    <x v="0"/>
    <s v="CETR 125 AE"/>
    <n v="677603455"/>
    <x v="2"/>
    <d v="2024-07-09T00:00:00"/>
    <n v="22001"/>
    <n v="4234"/>
    <n v="26235"/>
  </r>
  <r>
    <x v="6"/>
    <x v="0"/>
    <x v="0"/>
    <x v="29"/>
    <s v="H 26759"/>
    <s v="NN BUSINESS SARL"/>
    <x v="0"/>
    <s v="CESR 289 AD"/>
    <n v="677603455"/>
    <x v="2"/>
    <d v="2024-07-09T00:00:00"/>
    <n v="22001"/>
    <n v="4234"/>
    <n v="26235"/>
  </r>
  <r>
    <x v="7"/>
    <x v="0"/>
    <x v="0"/>
    <x v="30"/>
    <s v="H 26758"/>
    <s v="STE MEN TRAVEL"/>
    <x v="0"/>
    <s v="LT 528 JW"/>
    <n v="691384241"/>
    <x v="4"/>
    <d v="2024-04-10T00:00:00"/>
    <n v="16001"/>
    <n v="3079"/>
    <n v="19080"/>
  </r>
  <r>
    <x v="7"/>
    <x v="0"/>
    <x v="0"/>
    <x v="31"/>
    <s v="H 26757"/>
    <s v="BICEC LOCATAIRE S.C.T.R.SARL"/>
    <x v="0"/>
    <s v="LTTR 027 AK"/>
    <n v="694742278"/>
    <x v="2"/>
    <d v="2024-07-10T00:00:00"/>
    <n v="22001"/>
    <n v="4234"/>
    <n v="26235"/>
  </r>
  <r>
    <x v="7"/>
    <x v="0"/>
    <x v="0"/>
    <x v="32"/>
    <s v="H 26756"/>
    <s v="NGOUAGNA ETIENNE"/>
    <x v="0"/>
    <s v="LTSR 424 AK"/>
    <n v="694742278"/>
    <x v="2"/>
    <d v="2024-07-10T00:00:00"/>
    <n v="22001"/>
    <n v="4234"/>
    <n v="26235"/>
  </r>
  <r>
    <x v="7"/>
    <x v="0"/>
    <x v="0"/>
    <x v="33"/>
    <s v="H 26755"/>
    <s v="HONGLIANG TRANSPORT SARL"/>
    <x v="0"/>
    <s v="CESR 653 AC"/>
    <n v="697516155"/>
    <x v="2"/>
    <d v="2024-07-10T00:00:00"/>
    <n v="22001"/>
    <n v="4234"/>
    <n v="26235"/>
  </r>
  <r>
    <x v="7"/>
    <x v="0"/>
    <x v="0"/>
    <x v="34"/>
    <s v="H 26754"/>
    <s v="FEUKWA TAKOUKAM LEONARD"/>
    <x v="0"/>
    <s v="CE 457 EE"/>
    <n v="695792573"/>
    <x v="2"/>
    <d v="2024-07-10T00:00:00"/>
    <n v="22001"/>
    <n v="4234"/>
    <n v="26235"/>
  </r>
  <r>
    <x v="8"/>
    <x v="0"/>
    <x v="0"/>
    <x v="35"/>
    <s v="H 26753"/>
    <s v="AISSATA JEANNE      RED 900"/>
    <x v="0"/>
    <s v="EN 815 AP"/>
    <n v="699691427"/>
    <x v="1"/>
    <d v="2025-01-11T00:00:00"/>
    <n v="14256"/>
    <n v="2744"/>
    <n v="17000"/>
  </r>
  <r>
    <x v="8"/>
    <x v="0"/>
    <x v="0"/>
    <x v="36"/>
    <s v="H 26712"/>
    <s v="STE BK BUSINESS"/>
    <x v="0"/>
    <s v="LTSR 096 AR"/>
    <n v="678752488"/>
    <x v="2"/>
    <d v="2024-07-11T00:00:00"/>
    <n v="22001"/>
    <n v="4234"/>
    <n v="26235"/>
  </r>
  <r>
    <x v="8"/>
    <x v="0"/>
    <x v="0"/>
    <x v="37"/>
    <s v="H 26752"/>
    <s v="KOM FOTSO HERMAN    RED 900"/>
    <x v="0"/>
    <s v="CE 476 JD"/>
    <n v="677656352"/>
    <x v="1"/>
    <d v="2025-01-11T00:00:00"/>
    <n v="14256"/>
    <n v="2744"/>
    <n v="17000"/>
  </r>
  <r>
    <x v="8"/>
    <x v="0"/>
    <x v="0"/>
    <x v="38"/>
    <s v="H 26751"/>
    <s v="NGUEMLE NGUEMLE CLOVIS CNN"/>
    <x v="0"/>
    <s v="CE 075 JO"/>
    <n v="698664280"/>
    <x v="1"/>
    <d v="2025-01-11T00:00:00"/>
    <n v="15011"/>
    <n v="2889"/>
    <n v="17900"/>
  </r>
  <r>
    <x v="8"/>
    <x v="0"/>
    <x v="0"/>
    <x v="39"/>
    <s v="H 26750"/>
    <s v="GASANA FELICIEN      RED 500"/>
    <x v="0"/>
    <s v="CE 192 FN"/>
    <n v="674922242"/>
    <x v="4"/>
    <d v="2024-04-11T00:00:00"/>
    <n v="12579"/>
    <n v="2421"/>
    <n v="15000"/>
  </r>
  <r>
    <x v="8"/>
    <x v="0"/>
    <x v="0"/>
    <x v="40"/>
    <s v="H 26749"/>
    <s v="KAMABE WELASSANGOU EPSE MEWOLI ROSE"/>
    <x v="0"/>
    <s v="CE 608 EY"/>
    <n v="697356488"/>
    <x v="1"/>
    <d v="2025-01-11T00:00:00"/>
    <n v="15011"/>
    <n v="2889"/>
    <n v="17900"/>
  </r>
  <r>
    <x v="8"/>
    <x v="0"/>
    <x v="0"/>
    <x v="41"/>
    <s v="H 26748"/>
    <s v="STE CCMM SARL"/>
    <x v="0"/>
    <s v="LTSRT 988 AN"/>
    <n v="675482181"/>
    <x v="2"/>
    <d v="2024-07-11T00:00:00"/>
    <n v="22001"/>
    <n v="4234"/>
    <n v="26235"/>
  </r>
  <r>
    <x v="9"/>
    <x v="0"/>
    <x v="0"/>
    <x v="42"/>
    <s v="H 26747"/>
    <s v="BAYMOH BENJAMEN AWARA"/>
    <x v="0"/>
    <s v="CE 412 IZ"/>
    <n v="676326335"/>
    <x v="3"/>
    <d v="2024-04-12T00:00:00"/>
    <n v="4110"/>
    <n v="790"/>
    <n v="4900"/>
  </r>
  <r>
    <x v="9"/>
    <x v="0"/>
    <x v="0"/>
    <x v="43"/>
    <s v="H 26746"/>
    <s v="NGAMOU IVANA ANNE"/>
    <x v="0"/>
    <s v="LT 591 FC"/>
    <n v="693914753"/>
    <x v="1"/>
    <d v="2025-01-12T00:00:00"/>
    <n v="15011"/>
    <n v="2889"/>
    <n v="17900"/>
  </r>
  <r>
    <x v="9"/>
    <x v="0"/>
    <x v="0"/>
    <x v="44"/>
    <s v="H 26745"/>
    <s v="TOBOU TA TANGMO ZEPHIIRIN"/>
    <x v="0"/>
    <s v="SU 027 AU"/>
    <n v="674093435"/>
    <x v="1"/>
    <d v="2025-01-12T00:00:00"/>
    <n v="14256"/>
    <n v="2744"/>
    <n v="17000"/>
  </r>
  <r>
    <x v="9"/>
    <x v="0"/>
    <x v="0"/>
    <x v="45"/>
    <s v="H 26744"/>
    <s v="MOUAKO ANDRE"/>
    <x v="0"/>
    <s v="LT 277 HT"/>
    <n v="693763336"/>
    <x v="1"/>
    <d v="2025-01-12T00:00:00"/>
    <n v="14256"/>
    <n v="2744"/>
    <n v="17000"/>
  </r>
  <r>
    <x v="9"/>
    <x v="0"/>
    <x v="0"/>
    <x v="46"/>
    <s v="H 26743"/>
    <s v="TAHTSIN WOUEGOUM JEAN BERNARD"/>
    <x v="0"/>
    <s v="CE 626 MG"/>
    <n v="699977145"/>
    <x v="1"/>
    <d v="2025-01-12T00:00:00"/>
    <n v="14256"/>
    <n v="2744"/>
    <n v="17000"/>
  </r>
  <r>
    <x v="10"/>
    <x v="0"/>
    <x v="0"/>
    <x v="47"/>
    <s v="H 26742"/>
    <s v="CONGREGATION OF THE SISTERS OF ST ANN"/>
    <x v="0"/>
    <s v="NW 8080 D"/>
    <n v="653156927"/>
    <x v="1"/>
    <d v="2025-01-13T00:00:00"/>
    <n v="14256"/>
    <n v="2744"/>
    <n v="17000"/>
  </r>
  <r>
    <x v="10"/>
    <x v="0"/>
    <x v="0"/>
    <x v="48"/>
    <s v="H 26741"/>
    <s v="KENFACK JOSEPH     RED 900"/>
    <x v="0"/>
    <s v="CE 049 HZ"/>
    <n v="670739342"/>
    <x v="1"/>
    <d v="2025-01-13T00:00:00"/>
    <n v="15011"/>
    <n v="2889"/>
    <n v="17900"/>
  </r>
  <r>
    <x v="10"/>
    <x v="0"/>
    <x v="0"/>
    <x v="49"/>
    <s v="H 26740"/>
    <s v="NYEMTAM MARTIN PYTHAGORE FILS      RED 900"/>
    <x v="0"/>
    <s v="CE 165 KC"/>
    <n v="699655090"/>
    <x v="1"/>
    <d v="2025-01-13T00:00:00"/>
    <n v="14256"/>
    <n v="2744"/>
    <n v="17000"/>
  </r>
  <r>
    <x v="10"/>
    <x v="0"/>
    <x v="0"/>
    <x v="50"/>
    <s v="H 26739"/>
    <s v="GROUPE DE TRANSIT EXPRESS SARL GTE"/>
    <x v="0"/>
    <s v="LTTR 935 AY"/>
    <n v="677405712"/>
    <x v="2"/>
    <d v="2024-07-13T00:00:00"/>
    <n v="22001"/>
    <n v="4234"/>
    <n v="26235"/>
  </r>
  <r>
    <x v="10"/>
    <x v="0"/>
    <x v="0"/>
    <x v="51"/>
    <s v="H 26738"/>
    <s v="S"/>
    <x v="0"/>
    <s v="CH 190506"/>
    <n v="677405712"/>
    <x v="2"/>
    <d v="2024-07-13T00:00:00"/>
    <n v="22001"/>
    <n v="4234"/>
    <n v="26235"/>
  </r>
  <r>
    <x v="10"/>
    <x v="0"/>
    <x v="0"/>
    <x v="52"/>
    <s v="H 26737"/>
    <s v="SOTRANSHY SARL"/>
    <x v="0"/>
    <s v="LTSR 552 AV"/>
    <n v="674207057"/>
    <x v="2"/>
    <d v="2024-07-13T00:00:00"/>
    <n v="22001"/>
    <n v="4234"/>
    <n v="26235"/>
  </r>
  <r>
    <x v="10"/>
    <x v="0"/>
    <x v="0"/>
    <x v="53"/>
    <s v="H 26736"/>
    <s v="WATSAA LONYEM ZEPHIRIN"/>
    <x v="0"/>
    <s v="CE 803 GM"/>
    <n v="695881210"/>
    <x v="2"/>
    <d v="2024-07-13T00:00:00"/>
    <n v="22001"/>
    <n v="4234"/>
    <n v="26235"/>
  </r>
  <r>
    <x v="11"/>
    <x v="0"/>
    <x v="0"/>
    <x v="54"/>
    <s v="H 26735"/>
    <s v="FOMEKONG NGUEGANG BERTRAND"/>
    <x v="0"/>
    <s v="LT 255 KE"/>
    <n v="678215459"/>
    <x v="2"/>
    <d v="2024-07-15T00:00:00"/>
    <n v="22001"/>
    <n v="4234"/>
    <n v="26235"/>
  </r>
  <r>
    <x v="11"/>
    <x v="0"/>
    <x v="0"/>
    <x v="55"/>
    <s v="H 26734"/>
    <s v="SIM REMY   RED 900"/>
    <x v="0"/>
    <s v="LT 394 GF"/>
    <n v="695462036"/>
    <x v="1"/>
    <d v="2025-01-15T00:00:00"/>
    <n v="14256"/>
    <n v="2744"/>
    <n v="17000"/>
  </r>
  <r>
    <x v="11"/>
    <x v="0"/>
    <x v="0"/>
    <x v="56"/>
    <s v="H 26733"/>
    <s v="JIEUFO PAUL         RED 400"/>
    <x v="0"/>
    <s v="CE 962 JM"/>
    <n v="677066447"/>
    <x v="3"/>
    <d v="2024-04-15T00:00:00"/>
    <n v="3774"/>
    <n v="726"/>
    <n v="4500"/>
  </r>
  <r>
    <x v="11"/>
    <x v="0"/>
    <x v="0"/>
    <x v="57"/>
    <s v="H 26732"/>
    <s v="TAHTSIN WOUEGOUM JEAN BERNARD   RED 900"/>
    <x v="0"/>
    <s v="CE 170 MI"/>
    <n v="699977145"/>
    <x v="1"/>
    <d v="2025-01-15T00:00:00"/>
    <n v="14256"/>
    <n v="2744"/>
    <n v="17000"/>
  </r>
  <r>
    <x v="11"/>
    <x v="0"/>
    <x v="0"/>
    <x v="58"/>
    <s v="H 26731"/>
    <s v="SEUDJIO TCHANGA HENRI PASCAL    RED 900"/>
    <x v="0"/>
    <s v="LT 503 JP"/>
    <n v="699275585"/>
    <x v="1"/>
    <d v="2025-01-15T00:00:00"/>
    <n v="14256"/>
    <n v="2744"/>
    <n v="17000"/>
  </r>
  <r>
    <x v="11"/>
    <x v="0"/>
    <x v="0"/>
    <x v="59"/>
    <s v="H 26730"/>
    <s v="STE CAMTEL"/>
    <x v="0"/>
    <s v="CE 932 AM"/>
    <n v="657414184"/>
    <x v="4"/>
    <d v="2024-04-15T00:00:00"/>
    <n v="12998"/>
    <n v="2502"/>
    <n v="15500"/>
  </r>
  <r>
    <x v="12"/>
    <x v="0"/>
    <x v="0"/>
    <x v="60"/>
    <s v="H 26729"/>
    <s v="MBA'NBO KOUMPA ABDOUL AZIZ     RED 900"/>
    <x v="0"/>
    <s v="LT 065 CI"/>
    <n v="677858222"/>
    <x v="1"/>
    <d v="2025-01-16T00:00:00"/>
    <n v="14256"/>
    <n v="2744"/>
    <n v="17000"/>
  </r>
  <r>
    <x v="12"/>
    <x v="0"/>
    <x v="0"/>
    <x v="61"/>
    <s v="H 26728"/>
    <s v="EBENYE A TEBA EPSE KAMDOUM YVETTE   RED 900"/>
    <x v="0"/>
    <s v="CE 1741 Q"/>
    <n v="674766676"/>
    <x v="1"/>
    <d v="2025-01-16T00:00:00"/>
    <n v="14256"/>
    <n v="2744"/>
    <n v="17000"/>
  </r>
  <r>
    <x v="12"/>
    <x v="0"/>
    <x v="0"/>
    <x v="62"/>
    <s v="H 26727"/>
    <s v="EBANDA ALIMA ANATOLE         RED 1235"/>
    <x v="0"/>
    <s v="CE 167 DI"/>
    <n v="653430283"/>
    <x v="2"/>
    <d v="2024-07-16T00:00:00"/>
    <n v="20965"/>
    <n v="4035"/>
    <n v="25000"/>
  </r>
  <r>
    <x v="12"/>
    <x v="0"/>
    <x v="0"/>
    <x v="63"/>
    <s v="H 26726"/>
    <s v="MEKOUDJOU FEUKOU JUDITH FLORA     RED 900"/>
    <x v="0"/>
    <s v="CE 461 KD"/>
    <n v="675068133"/>
    <x v="1"/>
    <d v="2025-01-16T00:00:00"/>
    <n v="14256"/>
    <n v="2744"/>
    <n v="17000"/>
  </r>
  <r>
    <x v="12"/>
    <x v="0"/>
    <x v="0"/>
    <x v="64"/>
    <s v="H 26725"/>
    <s v="KENNE HENRI MARCEL"/>
    <x v="0"/>
    <s v="CETR 507 AE"/>
    <n v="694329077"/>
    <x v="2"/>
    <d v="2024-07-16T00:00:00"/>
    <n v="22001"/>
    <n v="4234"/>
    <n v="26235"/>
  </r>
  <r>
    <x v="12"/>
    <x v="0"/>
    <x v="0"/>
    <x v="65"/>
    <s v="H 26724"/>
    <s v="YOUSSOUFA DANG ADJIMI"/>
    <x v="0"/>
    <s v="CESR 696 AD"/>
    <n v="697348371"/>
    <x v="2"/>
    <d v="2024-07-16T00:00:00"/>
    <n v="22001"/>
    <n v="4234"/>
    <n v="26235"/>
  </r>
  <r>
    <x v="13"/>
    <x v="0"/>
    <x v="0"/>
    <x v="66"/>
    <s v="H 26723"/>
    <s v="YOUSSOUFA DANG ADJIMI"/>
    <x v="0"/>
    <s v="CETR 824 AE"/>
    <n v="697348371"/>
    <x v="2"/>
    <d v="2024-07-16T00:00:00"/>
    <n v="22001"/>
    <n v="4234"/>
    <n v="26235"/>
  </r>
  <r>
    <x v="13"/>
    <x v="0"/>
    <x v="0"/>
    <x v="67"/>
    <s v="H 26722"/>
    <s v="WOUBENG VOUFO FRANCOIS  RED 900"/>
    <x v="0"/>
    <s v="CE 195 IX"/>
    <n v="674453838"/>
    <x v="1"/>
    <d v="2025-01-17T00:00:00"/>
    <n v="14256"/>
    <n v="2744"/>
    <n v="17000"/>
  </r>
  <r>
    <x v="13"/>
    <x v="0"/>
    <x v="0"/>
    <x v="68"/>
    <s v="H 26721"/>
    <s v="SONNA ROMEYO ALEXE      RED 900"/>
    <x v="0"/>
    <s v="CH 117686"/>
    <m/>
    <x v="1"/>
    <d v="2025-01-17T00:00:00"/>
    <n v="14256"/>
    <n v="2744"/>
    <n v="17000"/>
  </r>
  <r>
    <x v="13"/>
    <x v="0"/>
    <x v="0"/>
    <x v="69"/>
    <s v="H 26720"/>
    <s v="NN BUSINESS SARL"/>
    <x v="0"/>
    <s v="CESR 326 AD"/>
    <n v="670747917"/>
    <x v="2"/>
    <d v="2024-07-16T00:00:00"/>
    <n v="22001"/>
    <n v="4234"/>
    <n v="26235"/>
  </r>
  <r>
    <x v="13"/>
    <x v="0"/>
    <x v="0"/>
    <x v="70"/>
    <s v="H 26719"/>
    <s v="NN BUSINESS SARL   RED 1235"/>
    <x v="0"/>
    <s v="CETR 131 AE"/>
    <n v="670747917"/>
    <x v="2"/>
    <d v="2024-07-16T00:00:00"/>
    <n v="20965"/>
    <n v="4035"/>
    <n v="25000"/>
  </r>
  <r>
    <x v="14"/>
    <x v="0"/>
    <x v="0"/>
    <x v="71"/>
    <s v="H 26718"/>
    <s v="EBA EPSE MEBENGA SUZANE MICHELE"/>
    <x v="0"/>
    <s v="CE 868 DC"/>
    <n v="699110171"/>
    <x v="1"/>
    <d v="2025-01-18T00:00:00"/>
    <n v="15011"/>
    <n v="2889"/>
    <n v="17900"/>
  </r>
  <r>
    <x v="14"/>
    <x v="0"/>
    <x v="0"/>
    <x v="72"/>
    <s v="H 26717"/>
    <s v="NGO TENLEP EMMA MIREILLE MIM"/>
    <x v="0"/>
    <s v="LT 012 GB"/>
    <n v="677955347"/>
    <x v="1"/>
    <d v="2025-01-18T00:00:00"/>
    <n v="15011"/>
    <n v="2889"/>
    <n v="17900"/>
  </r>
  <r>
    <x v="14"/>
    <x v="0"/>
    <x v="0"/>
    <x v="73"/>
    <s v="H 26716"/>
    <s v="ADAMOU ABBA                     RED  1235"/>
    <x v="0"/>
    <s v="CH 012988"/>
    <n v="694102324"/>
    <x v="2"/>
    <d v="2024-07-18T00:00:00"/>
    <n v="20965"/>
    <n v="4035"/>
    <n v="25000"/>
  </r>
  <r>
    <x v="14"/>
    <x v="0"/>
    <x v="0"/>
    <x v="74"/>
    <s v="H 26715"/>
    <s v="TANYI MBIANYOR EPSE FOKWIN IRENE TABE"/>
    <x v="0"/>
    <s v="CE 236 HY"/>
    <n v="676159328"/>
    <x v="1"/>
    <d v="2025-01-18T00:00:00"/>
    <n v="15011"/>
    <n v="2889"/>
    <n v="17900"/>
  </r>
  <r>
    <x v="14"/>
    <x v="0"/>
    <x v="0"/>
    <x v="75"/>
    <s v="H 26714"/>
    <s v="BOUKEGNI OMBIOGNIO BENOIT"/>
    <x v="0"/>
    <s v="CE 263 MN"/>
    <n v="699731216"/>
    <x v="1"/>
    <d v="2025-01-18T00:00:00"/>
    <n v="15011"/>
    <n v="2889"/>
    <n v="17900"/>
  </r>
  <r>
    <x v="14"/>
    <x v="0"/>
    <x v="0"/>
    <x v="76"/>
    <s v="H 26713"/>
    <s v="STE CAM TRANSP REPRESEN S.C.T.R SARL RED  1235"/>
    <x v="0"/>
    <s v="LTTR 753 AI"/>
    <n v="697910979"/>
    <x v="2"/>
    <d v="2024-07-18T00:00:00"/>
    <n v="20965"/>
    <n v="4035"/>
    <n v="25000"/>
  </r>
  <r>
    <x v="15"/>
    <x v="0"/>
    <x v="0"/>
    <x v="77"/>
    <s v="H 26710"/>
    <s v="OSSOMBE ALBERT FREDDIE"/>
    <x v="0"/>
    <s v="CE 391 KT"/>
    <n v="675954763"/>
    <x v="1"/>
    <d v="2025-01-19T00:00:00"/>
    <n v="15011"/>
    <n v="2889"/>
    <n v="17900"/>
  </r>
  <r>
    <x v="15"/>
    <x v="0"/>
    <x v="0"/>
    <x v="78"/>
    <s v="H 26709"/>
    <s v="NSANGOU ABOUBAKAR"/>
    <x v="0"/>
    <s v="LT 448 JC"/>
    <n v="676045587"/>
    <x v="1"/>
    <d v="2025-01-19T00:00:00"/>
    <n v="15011"/>
    <n v="2889"/>
    <n v="17900"/>
  </r>
  <r>
    <x v="15"/>
    <x v="0"/>
    <x v="0"/>
    <x v="79"/>
    <s v="H 26708"/>
    <s v="GASANA FELICIEN    SUITE A L'EREUR COMMIS C"/>
    <x v="0"/>
    <s v="CE 192 FN"/>
    <n v="674922242"/>
    <x v="0"/>
    <d v="2024-07-19T00:00:00"/>
    <n v="0"/>
    <n v="0"/>
    <n v="0"/>
  </r>
  <r>
    <x v="16"/>
    <x v="0"/>
    <x v="0"/>
    <x v="80"/>
    <s v="H 26707"/>
    <s v="KEWE LAURE MARTINE"/>
    <x v="0"/>
    <s v="CE 299 HL"/>
    <n v="699852844"/>
    <x v="1"/>
    <d v="2025-01-19T00:00:00"/>
    <n v="15011"/>
    <n v="2889"/>
    <n v="17900"/>
  </r>
  <r>
    <x v="16"/>
    <x v="0"/>
    <x v="0"/>
    <x v="81"/>
    <s v="H 26706"/>
    <s v="TCHINDA MERLAIN DECLAIR"/>
    <x v="0"/>
    <s v="CE 057 MO"/>
    <n v="699777710"/>
    <x v="1"/>
    <d v="2025-01-19T00:00:00"/>
    <n v="15011"/>
    <n v="2889"/>
    <n v="17900"/>
  </r>
  <r>
    <x v="16"/>
    <x v="0"/>
    <x v="0"/>
    <x v="82"/>
    <s v="H 26705"/>
    <s v="VICTOR FOBUH OBANDE"/>
    <x v="0"/>
    <s v="CE 414 LQ"/>
    <n v="677269280"/>
    <x v="1"/>
    <d v="2025-01-19T00:00:00"/>
    <n v="15011"/>
    <n v="2889"/>
    <n v="17900"/>
  </r>
  <r>
    <x v="16"/>
    <x v="0"/>
    <x v="0"/>
    <x v="83"/>
    <s v="H 26704"/>
    <s v="BITCHOKA ANSELME SIMEON"/>
    <x v="0"/>
    <s v="CH 033393"/>
    <n v="699978387"/>
    <x v="1"/>
    <d v="2025-01-19T00:00:00"/>
    <n v="15011"/>
    <n v="2889"/>
    <n v="17900"/>
  </r>
  <r>
    <x v="17"/>
    <x v="0"/>
    <x v="0"/>
    <x v="84"/>
    <s v="H 26703"/>
    <s v="LA STE AGORA SHIPPING ET LOGIS"/>
    <x v="0"/>
    <s v="CETR 831 AD"/>
    <n v="678400027"/>
    <x v="2"/>
    <d v="2024-07-22T00:00:00"/>
    <n v="22001"/>
    <n v="4234"/>
    <n v="26235"/>
  </r>
  <r>
    <x v="17"/>
    <x v="0"/>
    <x v="0"/>
    <x v="85"/>
    <s v="H 26702"/>
    <s v="WOMAJIE DJIKEUSSI DIANE JOVANITA"/>
    <x v="0"/>
    <s v="LT 589 GM"/>
    <n v="679536511"/>
    <x v="1"/>
    <d v="2025-01-22T00:00:00"/>
    <n v="15011"/>
    <n v="2889"/>
    <n v="17900"/>
  </r>
  <r>
    <x v="17"/>
    <x v="0"/>
    <x v="0"/>
    <x v="86"/>
    <s v="H 26701"/>
    <s v="PONDI GUILLAUME"/>
    <x v="0"/>
    <s v="CE 417 MH"/>
    <n v="693531383"/>
    <x v="1"/>
    <d v="2025-01-22T00:00:00"/>
    <n v="15011"/>
    <n v="2889"/>
    <n v="17900"/>
  </r>
  <r>
    <x v="17"/>
    <x v="0"/>
    <x v="0"/>
    <x v="87"/>
    <s v="H 26700"/>
    <s v="NGANGOM KOUEKAM"/>
    <x v="0"/>
    <s v="CE 891 HB"/>
    <n v="696417544"/>
    <x v="1"/>
    <d v="2025-01-22T00:00:00"/>
    <n v="15011"/>
    <n v="2889"/>
    <n v="17900"/>
  </r>
  <r>
    <x v="18"/>
    <x v="0"/>
    <x v="0"/>
    <x v="88"/>
    <s v="H 26699"/>
    <s v="KOLO LOMO MICHEL PASCAL"/>
    <x v="0"/>
    <s v="CE 938 NS"/>
    <n v="677827451"/>
    <x v="3"/>
    <d v="2024-04-23T00:00:00"/>
    <n v="4110"/>
    <n v="790"/>
    <n v="4900"/>
  </r>
  <r>
    <x v="18"/>
    <x v="0"/>
    <x v="0"/>
    <x v="89"/>
    <s v="H 26698"/>
    <s v="FOUDJO TAFOPA ROMEO"/>
    <x v="0"/>
    <s v="CE 208 MP"/>
    <n v="677827451"/>
    <x v="1"/>
    <d v="2025-01-22T00:00:00"/>
    <n v="15011"/>
    <n v="2889"/>
    <n v="17900"/>
  </r>
  <r>
    <x v="18"/>
    <x v="0"/>
    <x v="0"/>
    <x v="90"/>
    <s v="H 26697"/>
    <s v="ENYEGUE ENYEGUE MOISET"/>
    <x v="0"/>
    <s v="CH 168896"/>
    <n v="693383599"/>
    <x v="1"/>
    <d v="2025-01-22T00:00:00"/>
    <n v="14256"/>
    <n v="2744"/>
    <n v="17000"/>
  </r>
  <r>
    <x v="18"/>
    <x v="0"/>
    <x v="0"/>
    <x v="91"/>
    <s v="H 26696"/>
    <s v="PETRO SCES &amp; LOGISTIQUE"/>
    <x v="0"/>
    <s v="LTSR 558 AS"/>
    <n v="692077013"/>
    <x v="2"/>
    <d v="2024-07-22T00:00:00"/>
    <n v="22001"/>
    <n v="4234"/>
    <n v="26235"/>
  </r>
  <r>
    <x v="19"/>
    <x v="0"/>
    <x v="0"/>
    <x v="92"/>
    <s v="H 26693"/>
    <s v="OWONA JOSEPH"/>
    <x v="0"/>
    <s v="CE 109 GK"/>
    <n v="690991429"/>
    <x v="1"/>
    <d v="2025-01-24T00:00:00"/>
    <n v="15011"/>
    <n v="2889"/>
    <n v="17900"/>
  </r>
  <r>
    <x v="19"/>
    <x v="0"/>
    <x v="0"/>
    <x v="93"/>
    <s v="H 26692"/>
    <s v="AYOUBA OUSSOUMANOU"/>
    <x v="0"/>
    <s v="ADSR 942 AA"/>
    <n v="653721163"/>
    <x v="2"/>
    <d v="2024-07-24T00:00:00"/>
    <n v="22001"/>
    <n v="4234"/>
    <n v="26235"/>
  </r>
  <r>
    <x v="19"/>
    <x v="0"/>
    <x v="0"/>
    <x v="94"/>
    <s v="H 26691 "/>
    <s v="AYOUBA OUSSOUMANOU   RED  1235"/>
    <x v="0"/>
    <s v="ADTR 026 AB"/>
    <n v="653721163"/>
    <x v="2"/>
    <d v="2024-07-24T00:00:00"/>
    <n v="20965"/>
    <n v="4035"/>
    <n v="25000"/>
  </r>
  <r>
    <x v="19"/>
    <x v="0"/>
    <x v="0"/>
    <x v="95"/>
    <s v="H 26689"/>
    <s v="MBAH TENE SEBASTIEN"/>
    <x v="0"/>
    <s v="CE 851 KU"/>
    <n v="675623661"/>
    <x v="1"/>
    <d v="2025-01-24T00:00:00"/>
    <n v="15011"/>
    <n v="2889"/>
    <n v="17900"/>
  </r>
  <r>
    <x v="19"/>
    <x v="0"/>
    <x v="0"/>
    <x v="96"/>
    <s v="H 26688"/>
    <s v="MISSIONNAIRES CLARETAINS"/>
    <x v="0"/>
    <s v="CE 990 GS"/>
    <n v="699791565"/>
    <x v="1"/>
    <d v="2025-01-24T00:00:00"/>
    <n v="15011"/>
    <n v="2889"/>
    <n v="17900"/>
  </r>
  <r>
    <x v="19"/>
    <x v="0"/>
    <x v="0"/>
    <x v="97"/>
    <s v="H 26695"/>
    <s v="EDOUA NJUKE JOHN       RED 900"/>
    <x v="0"/>
    <s v="CE 184 KS"/>
    <n v="674431384"/>
    <x v="1"/>
    <d v="2025-01-24T00:00:00"/>
    <n v="14256"/>
    <n v="2744"/>
    <n v="17000"/>
  </r>
  <r>
    <x v="20"/>
    <x v="0"/>
    <x v="0"/>
    <x v="98"/>
    <s v="H 26687"/>
    <s v="DONFACK DONGMO AIME DIEUDONNE   RED 500"/>
    <x v="0"/>
    <s v="CE 450 LA"/>
    <n v="674922242"/>
    <x v="0"/>
    <d v="2024-07-25T00:00:00"/>
    <n v="12579"/>
    <n v="2421"/>
    <n v="15000"/>
  </r>
  <r>
    <x v="20"/>
    <x v="0"/>
    <x v="0"/>
    <x v="99"/>
    <s v="H 26686"/>
    <s v="BONGSUIKA AMADOU   RED 900"/>
    <x v="0"/>
    <s v="CE 886 GB"/>
    <n v="698464493"/>
    <x v="1"/>
    <d v="2025-01-25T00:00:00"/>
    <n v="14256"/>
    <n v="2744"/>
    <n v="17000"/>
  </r>
  <r>
    <x v="20"/>
    <x v="0"/>
    <x v="0"/>
    <x v="100"/>
    <s v="H 26685"/>
    <s v="TALONCHERE JOSEPH    RED 1235"/>
    <x v="0"/>
    <s v="LTSR 933 AQ"/>
    <n v="676412543"/>
    <x v="2"/>
    <d v="2024-07-25T00:00:00"/>
    <n v="20965"/>
    <n v="4035"/>
    <n v="25000"/>
  </r>
  <r>
    <x v="20"/>
    <x v="0"/>
    <x v="0"/>
    <x v="101"/>
    <s v="H 26684"/>
    <s v="SGBC LOCATAIRE ETS TALONCHERE"/>
    <x v="0"/>
    <s v="LTTR 333 AF"/>
    <n v="676412543"/>
    <x v="2"/>
    <d v="2024-07-25T00:00:00"/>
    <n v="22001"/>
    <n v="4234"/>
    <n v="26235"/>
  </r>
  <r>
    <x v="21"/>
    <x v="0"/>
    <x v="0"/>
    <x v="102"/>
    <s v="H 26683"/>
    <s v="FOUTE JEAN FLAUBERT   RED 1235"/>
    <x v="0"/>
    <s v="CH 002469"/>
    <n v="679638049"/>
    <x v="2"/>
    <d v="2024-07-26T00:00:00"/>
    <n v="20965"/>
    <n v="4035"/>
    <n v="25000"/>
  </r>
  <r>
    <x v="21"/>
    <x v="0"/>
    <x v="0"/>
    <x v="103"/>
    <s v="H 26682"/>
    <s v="FOUTE JEAN FLAUBERT   RED 1235"/>
    <x v="0"/>
    <s v="CH 770912"/>
    <n v="679638049"/>
    <x v="2"/>
    <d v="2024-07-26T00:00:00"/>
    <n v="20965"/>
    <n v="4035"/>
    <n v="25000"/>
  </r>
  <r>
    <x v="21"/>
    <x v="0"/>
    <x v="0"/>
    <x v="104"/>
    <s v="H 26681"/>
    <s v="KPOUMIE ALIYOU    RED 1235"/>
    <x v="0"/>
    <s v="LT 897 EF"/>
    <n v="658123665"/>
    <x v="2"/>
    <d v="2024-07-26T00:00:00"/>
    <n v="20965"/>
    <n v="4035"/>
    <n v="25000"/>
  </r>
  <r>
    <x v="21"/>
    <x v="0"/>
    <x v="0"/>
    <x v="105"/>
    <m/>
    <s v="PAYE D' AVANCE  ( LE CLIENT VIENDRA DEMAIN)"/>
    <x v="0"/>
    <s v="CE 996 LR"/>
    <n v="691892537"/>
    <x v="1"/>
    <m/>
    <n v="15011"/>
    <n v="2889"/>
    <n v="17900"/>
  </r>
  <r>
    <x v="22"/>
    <x v="0"/>
    <x v="0"/>
    <x v="106"/>
    <s v="H 26680"/>
    <s v="KENNE HENRI MARCEL"/>
    <x v="0"/>
    <s v="CETR 575 AE"/>
    <n v="651939523"/>
    <x v="2"/>
    <d v="2024-07-27T00:00:00"/>
    <n v="22001"/>
    <n v="4234"/>
    <n v="26235"/>
  </r>
  <r>
    <x v="22"/>
    <x v="0"/>
    <x v="0"/>
    <x v="107"/>
    <s v="H 26679"/>
    <s v="BASSA EBONG DEYORRO"/>
    <x v="0"/>
    <s v="CE 996 LR"/>
    <n v="691892537"/>
    <x v="1"/>
    <d v="2025-01-27T00:00:00"/>
    <n v="0"/>
    <n v="0"/>
    <n v="0"/>
  </r>
  <r>
    <x v="22"/>
    <x v="0"/>
    <x v="0"/>
    <x v="108"/>
    <s v="H 26678"/>
    <s v="SHESTERFOR SECURITY SARL      RED 500"/>
    <x v="0"/>
    <s v="CE 973 IK"/>
    <n v="656872724"/>
    <x v="0"/>
    <d v="2024-07-27T00:00:00"/>
    <n v="12579"/>
    <n v="2421"/>
    <n v="15000"/>
  </r>
  <r>
    <x v="23"/>
    <x v="0"/>
    <x v="0"/>
    <x v="109"/>
    <s v="H 26677"/>
    <s v="BUTRAF SARL"/>
    <x v="0"/>
    <s v="NOSR 691 AA"/>
    <n v="697111299"/>
    <x v="2"/>
    <d v="2024-07-29T00:00:00"/>
    <n v="20965"/>
    <n v="4035"/>
    <n v="25000"/>
  </r>
  <r>
    <x v="23"/>
    <x v="1"/>
    <x v="1"/>
    <x v="110"/>
    <m/>
    <s v="MOUSSA RAMAT   RED   1235"/>
    <x v="0"/>
    <s v="LTTR 130 AW"/>
    <n v="694040403"/>
    <x v="2"/>
    <d v="2024-07-29T00:00:00"/>
    <n v="20965"/>
    <n v="4035"/>
    <n v="25000"/>
  </r>
  <r>
    <x v="24"/>
    <x v="0"/>
    <x v="0"/>
    <x v="111"/>
    <s v="H 26676"/>
    <s v="STE GROUPELA CONCORDE SARL  RED 1235"/>
    <x v="0"/>
    <s v="CH 865553"/>
    <n v="671341044"/>
    <x v="2"/>
    <d v="2024-07-30T00:00:00"/>
    <n v="20965"/>
    <n v="4035"/>
    <n v="25000"/>
  </r>
  <r>
    <x v="24"/>
    <x v="0"/>
    <x v="0"/>
    <x v="112"/>
    <s v="H 26675"/>
    <s v="FOMEKONG FELICIEN      "/>
    <x v="0"/>
    <s v="CE 489 FR"/>
    <n v="675519864"/>
    <x v="1"/>
    <d v="2025-01-30T00:00:00"/>
    <n v="15011"/>
    <n v="2889"/>
    <n v="17900"/>
  </r>
  <r>
    <x v="24"/>
    <x v="0"/>
    <x v="0"/>
    <x v="113"/>
    <s v="H 26674"/>
    <s v="LADO MELI ROMEO   "/>
    <x v="0"/>
    <s v="CE 998 IC"/>
    <n v="699680613"/>
    <x v="0"/>
    <d v="2024-07-30T00:00:00"/>
    <n v="12998"/>
    <n v="2502"/>
    <n v="15500"/>
  </r>
  <r>
    <x v="24"/>
    <x v="0"/>
    <x v="0"/>
    <x v="114"/>
    <s v="H 26673"/>
    <s v="SONGNAC EMMANUEL        RED 900"/>
    <x v="0"/>
    <s v="CH 030321"/>
    <n v="678876188"/>
    <x v="1"/>
    <d v="2025-01-30T00:00:00"/>
    <n v="14256"/>
    <n v="2744"/>
    <n v="17000"/>
  </r>
  <r>
    <x v="24"/>
    <x v="0"/>
    <x v="0"/>
    <x v="115"/>
    <s v="H 26672"/>
    <s v="CREDIT COMMUNAUTAIRE D AFRIQUE ( CCA)"/>
    <x v="0"/>
    <s v="CE 889 DT"/>
    <n v="677330501"/>
    <x v="0"/>
    <d v="2024-07-30T00:00:00"/>
    <n v="12998"/>
    <n v="2502"/>
    <n v="15500"/>
  </r>
  <r>
    <x v="24"/>
    <x v="0"/>
    <x v="0"/>
    <x v="116"/>
    <s v="H 26671"/>
    <s v="KAMGA EBENEZER   RED 500"/>
    <x v="0"/>
    <s v="LT 585 ID"/>
    <n v="677105759"/>
    <x v="0"/>
    <d v="2024-07-30T00:00:00"/>
    <n v="12579"/>
    <n v="2421"/>
    <n v="15000"/>
  </r>
  <r>
    <x v="24"/>
    <x v="0"/>
    <x v="0"/>
    <x v="117"/>
    <s v="H 26670"/>
    <s v="FOMEKONG INNOCENT        RED 1235"/>
    <x v="0"/>
    <s v="CE 802 ND"/>
    <n v="650337690"/>
    <x v="2"/>
    <d v="2024-07-30T00:00:00"/>
    <n v="20965"/>
    <n v="4035"/>
    <n v="25000"/>
  </r>
  <r>
    <x v="24"/>
    <x v="0"/>
    <x v="0"/>
    <x v="118"/>
    <s v="H 26669"/>
    <s v="RONAX INVEST SARL"/>
    <x v="0"/>
    <s v="CE 881 JG"/>
    <n v="679174963"/>
    <x v="2"/>
    <d v="2024-07-30T00:00:00"/>
    <n v="22001"/>
    <n v="4234"/>
    <n v="26235"/>
  </r>
  <r>
    <x v="24"/>
    <x v="0"/>
    <x v="0"/>
    <x v="119"/>
    <s v="H 26668"/>
    <s v="NGOUNE ALEXIS     RED 900"/>
    <x v="0"/>
    <s v="CH 033004"/>
    <n v="673434146"/>
    <x v="1"/>
    <d v="2025-01-30T00:00:00"/>
    <n v="14256"/>
    <n v="2744"/>
    <n v="17000"/>
  </r>
  <r>
    <x v="24"/>
    <x v="0"/>
    <x v="0"/>
    <x v="120"/>
    <s v="H 26667"/>
    <s v="NJANGANG CLAUDICE"/>
    <x v="0"/>
    <s v="CE 499 MN"/>
    <n v="679738203"/>
    <x v="1"/>
    <d v="2025-01-30T00:00:00"/>
    <n v="15011"/>
    <n v="2889"/>
    <n v="17900"/>
  </r>
  <r>
    <x v="24"/>
    <x v="0"/>
    <x v="0"/>
    <x v="121"/>
    <s v="H 26666"/>
    <s v="SOGOPROCAM SARL   RED 1235"/>
    <x v="0"/>
    <s v="LT 240 CX"/>
    <n v="695680323"/>
    <x v="2"/>
    <d v="2024-07-30T00:00:00"/>
    <n v="20965"/>
    <n v="4035"/>
    <n v="25000"/>
  </r>
  <r>
    <x v="25"/>
    <x v="0"/>
    <x v="0"/>
    <x v="122"/>
    <s v="H 26665"/>
    <s v="DJOUSSE RONIS"/>
    <x v="0"/>
    <s v="CE 956 JI"/>
    <n v="670291106"/>
    <x v="0"/>
    <d v="2024-07-31T00:00:00"/>
    <n v="12998"/>
    <n v="2502"/>
    <n v="15500"/>
  </r>
  <r>
    <x v="25"/>
    <x v="0"/>
    <x v="0"/>
    <x v="123"/>
    <s v="H 26664"/>
    <s v="NGOUFACK TEOPHILE"/>
    <x v="0"/>
    <s v="CE 359 LX"/>
    <n v="677921261"/>
    <x v="1"/>
    <d v="2025-01-31T00:00:00"/>
    <n v="15011"/>
    <n v="2889"/>
    <n v="17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2880A-7F28-490E-90FB-27E12724B02B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4">
    <pivotField dataField="1" numFmtId="14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 sd="0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125">
        <item x="2"/>
        <item x="3"/>
        <item x="4"/>
        <item x="5"/>
        <item x="7"/>
        <item x="8"/>
        <item x="11"/>
        <item x="12"/>
        <item x="14"/>
        <item x="15"/>
        <item x="16"/>
        <item x="17"/>
        <item x="18"/>
        <item x="19"/>
        <item x="22"/>
        <item x="23"/>
        <item x="24"/>
        <item x="25"/>
        <item x="26"/>
        <item x="27"/>
        <item x="29"/>
        <item x="30"/>
        <item x="32"/>
        <item x="33"/>
        <item x="34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6"/>
        <item x="58"/>
        <item x="60"/>
        <item x="61"/>
        <item x="62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1"/>
        <item x="92"/>
        <item x="93"/>
        <item x="96"/>
        <item x="97"/>
        <item x="98"/>
        <item x="99"/>
        <item x="100"/>
        <item x="101"/>
        <item x="102"/>
        <item x="103"/>
        <item x="104"/>
        <item x="107"/>
        <item x="108"/>
        <item x="110"/>
        <item x="112"/>
        <item x="113"/>
        <item x="114"/>
        <item x="115"/>
        <item x="117"/>
        <item x="118"/>
        <item x="120"/>
        <item x="121"/>
        <item x="122"/>
        <item x="123"/>
        <item x="0"/>
        <item x="1"/>
        <item x="6"/>
        <item x="9"/>
        <item x="10"/>
        <item x="13"/>
        <item x="20"/>
        <item x="21"/>
        <item x="28"/>
        <item x="31"/>
        <item x="35"/>
        <item x="41"/>
        <item x="53"/>
        <item x="55"/>
        <item x="57"/>
        <item x="59"/>
        <item x="63"/>
        <item x="64"/>
        <item x="65"/>
        <item x="66"/>
        <item x="74"/>
        <item x="83"/>
        <item x="90"/>
        <item x="94"/>
        <item x="95"/>
        <item x="106"/>
        <item x="109"/>
        <item x="111"/>
        <item x="116"/>
        <item x="119"/>
        <item x="105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nzahl von DATE" fld="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7"/>
  <sheetViews>
    <sheetView workbookViewId="0">
      <selection activeCell="K2" sqref="K1:K1048576"/>
    </sheetView>
  </sheetViews>
  <sheetFormatPr defaultColWidth="11.42578125" defaultRowHeight="15" x14ac:dyDescent="0.25"/>
  <cols>
    <col min="1" max="1" width="7.140625" customWidth="1"/>
    <col min="2" max="2" width="11.42578125" customWidth="1"/>
    <col min="7" max="7" width="54.28515625" customWidth="1"/>
    <col min="13" max="13" width="18.5703125" customWidth="1"/>
    <col min="14" max="14" width="17.7109375" customWidth="1"/>
    <col min="15" max="15" width="20.42578125" customWidth="1"/>
    <col min="16" max="16" width="14.140625" customWidth="1"/>
  </cols>
  <sheetData>
    <row r="1" spans="1:17" x14ac:dyDescent="0.25">
      <c r="A1" s="45" t="s">
        <v>530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  <c r="Q1" s="5"/>
    </row>
    <row r="2" spans="1:17" x14ac:dyDescent="0.25">
      <c r="A2" s="3" t="s">
        <v>0</v>
      </c>
      <c r="B2" s="7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27" t="s">
        <v>12</v>
      </c>
      <c r="N2" s="27" t="s">
        <v>13</v>
      </c>
      <c r="O2" s="27" t="s">
        <v>14</v>
      </c>
      <c r="P2" s="27" t="s">
        <v>15</v>
      </c>
      <c r="Q2" s="6"/>
    </row>
    <row r="3" spans="1:17" x14ac:dyDescent="0.25">
      <c r="A3" s="12">
        <v>1</v>
      </c>
      <c r="B3" s="48">
        <v>45293</v>
      </c>
      <c r="C3" s="1">
        <v>1</v>
      </c>
      <c r="D3" s="1"/>
      <c r="E3" s="1" t="s">
        <v>23</v>
      </c>
      <c r="F3" s="1" t="s">
        <v>24</v>
      </c>
      <c r="G3" s="1" t="s">
        <v>25</v>
      </c>
      <c r="H3" s="1" t="s">
        <v>16</v>
      </c>
      <c r="I3" s="1" t="s">
        <v>26</v>
      </c>
      <c r="J3" s="1">
        <v>682640870</v>
      </c>
      <c r="K3" s="1" t="s">
        <v>18</v>
      </c>
      <c r="L3" s="2">
        <v>45475</v>
      </c>
      <c r="M3" s="28">
        <v>12998</v>
      </c>
      <c r="N3" s="28">
        <f>O3-M3</f>
        <v>2502</v>
      </c>
      <c r="O3" s="28">
        <v>15500</v>
      </c>
      <c r="P3" s="13">
        <f>O3</f>
        <v>15500</v>
      </c>
      <c r="Q3" s="58">
        <f>SUM(O3:O5)</f>
        <v>59635</v>
      </c>
    </row>
    <row r="4" spans="1:17" x14ac:dyDescent="0.25">
      <c r="A4" s="12">
        <f t="shared" ref="A4:A67" si="0">A3+1</f>
        <v>2</v>
      </c>
      <c r="B4" s="56"/>
      <c r="C4" s="1">
        <v>1</v>
      </c>
      <c r="D4" s="1"/>
      <c r="E4" s="1" t="s">
        <v>27</v>
      </c>
      <c r="F4" s="1" t="s">
        <v>28</v>
      </c>
      <c r="G4" s="1" t="s">
        <v>29</v>
      </c>
      <c r="H4" s="1" t="s">
        <v>16</v>
      </c>
      <c r="I4" s="1" t="s">
        <v>30</v>
      </c>
      <c r="J4" s="1">
        <v>691892537</v>
      </c>
      <c r="K4" s="1" t="s">
        <v>17</v>
      </c>
      <c r="L4" s="2">
        <v>45659</v>
      </c>
      <c r="M4" s="28">
        <v>15011</v>
      </c>
      <c r="N4" s="28">
        <f>O4-M4</f>
        <v>2889</v>
      </c>
      <c r="O4" s="28">
        <v>17900</v>
      </c>
      <c r="P4" s="8">
        <f>P3+O4</f>
        <v>33400</v>
      </c>
      <c r="Q4" s="59"/>
    </row>
    <row r="5" spans="1:17" x14ac:dyDescent="0.25">
      <c r="A5" s="12">
        <f t="shared" si="0"/>
        <v>3</v>
      </c>
      <c r="B5" s="57"/>
      <c r="C5" s="1">
        <v>1</v>
      </c>
      <c r="D5" s="1"/>
      <c r="E5" s="1" t="s">
        <v>31</v>
      </c>
      <c r="F5" s="1" t="s">
        <v>32</v>
      </c>
      <c r="G5" s="1" t="s">
        <v>33</v>
      </c>
      <c r="H5" s="1" t="s">
        <v>16</v>
      </c>
      <c r="I5" s="1" t="s">
        <v>34</v>
      </c>
      <c r="J5" s="1">
        <v>656596673</v>
      </c>
      <c r="K5" s="1" t="s">
        <v>21</v>
      </c>
      <c r="L5" s="2">
        <v>45475</v>
      </c>
      <c r="M5" s="29">
        <v>22001</v>
      </c>
      <c r="N5" s="29">
        <f t="shared" ref="N5" si="1">O5-M5</f>
        <v>4234</v>
      </c>
      <c r="O5" s="29">
        <v>26235</v>
      </c>
      <c r="P5" s="8">
        <f t="shared" ref="P5:P68" si="2">P4+O5</f>
        <v>59635</v>
      </c>
      <c r="Q5" s="55"/>
    </row>
    <row r="6" spans="1:17" x14ac:dyDescent="0.25">
      <c r="A6" s="12">
        <f t="shared" si="0"/>
        <v>4</v>
      </c>
      <c r="B6" s="11"/>
      <c r="C6" s="11"/>
      <c r="D6" s="11"/>
      <c r="E6" s="11"/>
      <c r="F6" s="11"/>
      <c r="G6" s="11" t="s">
        <v>35</v>
      </c>
      <c r="H6" s="11"/>
      <c r="I6" s="11"/>
      <c r="J6" s="11"/>
      <c r="K6" s="11"/>
      <c r="L6" s="11"/>
      <c r="M6" s="11"/>
      <c r="N6" s="11"/>
      <c r="O6" s="11"/>
      <c r="P6" s="9">
        <f t="shared" si="2"/>
        <v>59635</v>
      </c>
      <c r="Q6" s="10"/>
    </row>
    <row r="7" spans="1:17" x14ac:dyDescent="0.25">
      <c r="A7" s="12">
        <f t="shared" si="0"/>
        <v>5</v>
      </c>
      <c r="B7" s="48">
        <v>45294</v>
      </c>
      <c r="C7" s="1">
        <v>1</v>
      </c>
      <c r="D7" s="14"/>
      <c r="E7" s="1" t="s">
        <v>36</v>
      </c>
      <c r="F7" s="1" t="s">
        <v>37</v>
      </c>
      <c r="G7" s="1" t="s">
        <v>38</v>
      </c>
      <c r="H7" s="1" t="s">
        <v>16</v>
      </c>
      <c r="I7" s="1" t="s">
        <v>39</v>
      </c>
      <c r="J7" s="1">
        <v>657788392</v>
      </c>
      <c r="K7" s="1" t="s">
        <v>21</v>
      </c>
      <c r="L7" s="2">
        <v>45476</v>
      </c>
      <c r="M7" s="29">
        <v>22001</v>
      </c>
      <c r="N7" s="29">
        <f t="shared" ref="N7" si="3">O7-M7</f>
        <v>4234</v>
      </c>
      <c r="O7" s="29">
        <v>26235</v>
      </c>
      <c r="P7" s="8">
        <f t="shared" si="2"/>
        <v>85870</v>
      </c>
      <c r="Q7" s="51">
        <f>O7+O8+O9+O10+O11</f>
        <v>84435</v>
      </c>
    </row>
    <row r="8" spans="1:17" x14ac:dyDescent="0.25">
      <c r="A8" s="12">
        <f t="shared" si="0"/>
        <v>6</v>
      </c>
      <c r="B8" s="49"/>
      <c r="C8" s="1">
        <v>1</v>
      </c>
      <c r="D8" s="15"/>
      <c r="E8" s="1" t="s">
        <v>40</v>
      </c>
      <c r="F8" s="1" t="s">
        <v>41</v>
      </c>
      <c r="G8" t="s">
        <v>42</v>
      </c>
      <c r="H8" s="1" t="s">
        <v>16</v>
      </c>
      <c r="I8" t="s">
        <v>43</v>
      </c>
      <c r="J8" s="1">
        <v>679783389</v>
      </c>
      <c r="K8" s="1" t="s">
        <v>17</v>
      </c>
      <c r="L8" s="2">
        <v>45660</v>
      </c>
      <c r="M8" s="28">
        <v>15011</v>
      </c>
      <c r="N8" s="28">
        <f>O8-M8</f>
        <v>2889</v>
      </c>
      <c r="O8" s="28">
        <v>17900</v>
      </c>
      <c r="P8" s="8">
        <f t="shared" si="2"/>
        <v>103770</v>
      </c>
      <c r="Q8" s="52"/>
    </row>
    <row r="9" spans="1:17" x14ac:dyDescent="0.25">
      <c r="A9" s="12">
        <f t="shared" si="0"/>
        <v>7</v>
      </c>
      <c r="B9" s="49"/>
      <c r="C9" s="1">
        <v>1</v>
      </c>
      <c r="D9" s="15"/>
      <c r="E9" s="1" t="s">
        <v>44</v>
      </c>
      <c r="F9" s="1" t="s">
        <v>45</v>
      </c>
      <c r="G9" s="1" t="s">
        <v>46</v>
      </c>
      <c r="H9" s="1" t="s">
        <v>16</v>
      </c>
      <c r="I9" s="1" t="s">
        <v>47</v>
      </c>
      <c r="J9" s="1">
        <v>683996017</v>
      </c>
      <c r="K9" s="1" t="s">
        <v>19</v>
      </c>
      <c r="L9" s="2">
        <v>45385</v>
      </c>
      <c r="M9" s="8">
        <v>3774</v>
      </c>
      <c r="N9" s="8">
        <f>O9-M9</f>
        <v>726</v>
      </c>
      <c r="O9" s="8">
        <v>4500</v>
      </c>
      <c r="P9" s="8">
        <f t="shared" si="2"/>
        <v>108270</v>
      </c>
      <c r="Q9" s="52"/>
    </row>
    <row r="10" spans="1:17" x14ac:dyDescent="0.25">
      <c r="A10" s="12">
        <f t="shared" si="0"/>
        <v>8</v>
      </c>
      <c r="B10" s="49"/>
      <c r="C10" s="1">
        <v>1</v>
      </c>
      <c r="D10" s="16"/>
      <c r="E10" s="1" t="s">
        <v>48</v>
      </c>
      <c r="F10" s="1" t="s">
        <v>49</v>
      </c>
      <c r="G10" t="s">
        <v>50</v>
      </c>
      <c r="H10" s="1" t="s">
        <v>16</v>
      </c>
      <c r="I10" t="s">
        <v>51</v>
      </c>
      <c r="J10" s="1">
        <v>671102929</v>
      </c>
      <c r="K10" s="1" t="s">
        <v>17</v>
      </c>
      <c r="L10" s="2">
        <v>45659</v>
      </c>
      <c r="M10" s="28">
        <v>15011</v>
      </c>
      <c r="N10" s="28">
        <f>O10-M10</f>
        <v>2889</v>
      </c>
      <c r="O10" s="28">
        <v>17900</v>
      </c>
      <c r="P10" s="8">
        <f t="shared" si="2"/>
        <v>126170</v>
      </c>
      <c r="Q10" s="52"/>
    </row>
    <row r="11" spans="1:17" x14ac:dyDescent="0.25">
      <c r="A11" s="12">
        <f t="shared" si="0"/>
        <v>9</v>
      </c>
      <c r="B11" s="50"/>
      <c r="C11" s="1">
        <v>1</v>
      </c>
      <c r="D11" s="12"/>
      <c r="E11" s="12" t="s">
        <v>52</v>
      </c>
      <c r="F11" s="12" t="s">
        <v>53</v>
      </c>
      <c r="G11" t="s">
        <v>54</v>
      </c>
      <c r="H11" s="12" t="s">
        <v>16</v>
      </c>
      <c r="I11" t="s">
        <v>55</v>
      </c>
      <c r="J11" s="12">
        <v>677774028</v>
      </c>
      <c r="K11" s="12" t="s">
        <v>17</v>
      </c>
      <c r="L11" s="2">
        <v>45659</v>
      </c>
      <c r="M11" s="28">
        <v>15011</v>
      </c>
      <c r="N11" s="28">
        <f>O11-M11</f>
        <v>2889</v>
      </c>
      <c r="O11" s="28">
        <v>17900</v>
      </c>
      <c r="P11" s="8">
        <f t="shared" si="2"/>
        <v>144070</v>
      </c>
      <c r="Q11" s="53"/>
    </row>
    <row r="12" spans="1:17" x14ac:dyDescent="0.25">
      <c r="A12" s="12">
        <f t="shared" si="0"/>
        <v>10</v>
      </c>
      <c r="B12" s="11"/>
      <c r="C12" s="11"/>
      <c r="D12" s="11"/>
      <c r="E12" s="11"/>
      <c r="F12" s="11"/>
      <c r="G12" s="11" t="s">
        <v>56</v>
      </c>
      <c r="H12" s="11"/>
      <c r="I12" s="11"/>
      <c r="J12" s="11"/>
      <c r="K12" s="11"/>
      <c r="L12" s="11"/>
      <c r="M12" s="11"/>
      <c r="N12" s="11"/>
      <c r="O12" s="11"/>
      <c r="P12" s="9">
        <f t="shared" si="2"/>
        <v>144070</v>
      </c>
      <c r="Q12" s="11"/>
    </row>
    <row r="13" spans="1:17" x14ac:dyDescent="0.25">
      <c r="A13" s="12">
        <f t="shared" si="0"/>
        <v>11</v>
      </c>
      <c r="B13" s="48">
        <v>45295</v>
      </c>
      <c r="C13" s="1">
        <v>1</v>
      </c>
      <c r="D13" s="1"/>
      <c r="E13" s="1" t="s">
        <v>57</v>
      </c>
      <c r="F13" s="1" t="s">
        <v>58</v>
      </c>
      <c r="G13" t="s">
        <v>59</v>
      </c>
      <c r="H13" s="1" t="s">
        <v>16</v>
      </c>
      <c r="I13" t="s">
        <v>60</v>
      </c>
      <c r="J13" s="1">
        <v>697669188</v>
      </c>
      <c r="K13" s="1" t="s">
        <v>21</v>
      </c>
      <c r="L13" s="2">
        <v>45477</v>
      </c>
      <c r="M13" s="29">
        <v>22001</v>
      </c>
      <c r="N13" s="29">
        <f t="shared" ref="N13:N16" si="4">O13-M13</f>
        <v>4234</v>
      </c>
      <c r="O13" s="29">
        <v>26235</v>
      </c>
      <c r="P13" s="8">
        <f t="shared" si="2"/>
        <v>170305</v>
      </c>
      <c r="Q13" s="51">
        <f>O13+O14+O15+O16+O17+O18+O19</f>
        <v>124370</v>
      </c>
    </row>
    <row r="14" spans="1:17" x14ac:dyDescent="0.25">
      <c r="A14" s="12">
        <f t="shared" si="0"/>
        <v>12</v>
      </c>
      <c r="B14" s="49"/>
      <c r="C14" s="1">
        <v>1</v>
      </c>
      <c r="D14" s="1"/>
      <c r="E14" s="1" t="s">
        <v>61</v>
      </c>
      <c r="F14" s="1" t="s">
        <v>62</v>
      </c>
      <c r="G14" s="1" t="s">
        <v>59</v>
      </c>
      <c r="H14" s="1" t="s">
        <v>16</v>
      </c>
      <c r="I14" s="1" t="s">
        <v>63</v>
      </c>
      <c r="J14" s="1">
        <v>697669188</v>
      </c>
      <c r="K14" s="1" t="s">
        <v>21</v>
      </c>
      <c r="L14" s="2">
        <v>45477</v>
      </c>
      <c r="M14" s="29">
        <v>22001</v>
      </c>
      <c r="N14" s="29">
        <f t="shared" si="4"/>
        <v>4234</v>
      </c>
      <c r="O14" s="29">
        <v>26235</v>
      </c>
      <c r="P14" s="8">
        <f t="shared" si="2"/>
        <v>196540</v>
      </c>
      <c r="Q14" s="49"/>
    </row>
    <row r="15" spans="1:17" x14ac:dyDescent="0.25">
      <c r="A15" s="12">
        <f t="shared" si="0"/>
        <v>13</v>
      </c>
      <c r="B15" s="49"/>
      <c r="C15" s="1">
        <v>1</v>
      </c>
      <c r="D15" s="1"/>
      <c r="E15" s="1" t="s">
        <v>64</v>
      </c>
      <c r="F15" s="1" t="s">
        <v>65</v>
      </c>
      <c r="G15" s="1" t="s">
        <v>66</v>
      </c>
      <c r="H15" s="1" t="s">
        <v>16</v>
      </c>
      <c r="I15" s="1" t="s">
        <v>67</v>
      </c>
      <c r="J15" s="1">
        <v>678641857</v>
      </c>
      <c r="K15" s="1" t="s">
        <v>17</v>
      </c>
      <c r="L15" s="2">
        <v>45661</v>
      </c>
      <c r="M15" s="29">
        <v>14256</v>
      </c>
      <c r="N15" s="29">
        <f t="shared" si="4"/>
        <v>2744</v>
      </c>
      <c r="O15" s="29">
        <v>17000</v>
      </c>
      <c r="P15" s="8">
        <f t="shared" si="2"/>
        <v>213540</v>
      </c>
      <c r="Q15" s="49"/>
    </row>
    <row r="16" spans="1:17" x14ac:dyDescent="0.25">
      <c r="A16" s="12">
        <f t="shared" si="0"/>
        <v>14</v>
      </c>
      <c r="B16" s="49"/>
      <c r="C16" s="1">
        <v>1</v>
      </c>
      <c r="D16" s="1"/>
      <c r="E16" s="1" t="s">
        <v>68</v>
      </c>
      <c r="F16" s="1" t="s">
        <v>69</v>
      </c>
      <c r="G16" s="1" t="s">
        <v>70</v>
      </c>
      <c r="H16" s="1" t="s">
        <v>16</v>
      </c>
      <c r="I16" s="1" t="s">
        <v>71</v>
      </c>
      <c r="J16" s="1">
        <v>699328088</v>
      </c>
      <c r="K16" s="1" t="s">
        <v>17</v>
      </c>
      <c r="L16" s="2">
        <v>45661</v>
      </c>
      <c r="M16" s="29">
        <v>14256</v>
      </c>
      <c r="N16" s="29">
        <f t="shared" si="4"/>
        <v>2744</v>
      </c>
      <c r="O16" s="29">
        <v>17000</v>
      </c>
      <c r="P16" s="8">
        <f t="shared" si="2"/>
        <v>230540</v>
      </c>
      <c r="Q16" s="49"/>
    </row>
    <row r="17" spans="1:17" x14ac:dyDescent="0.25">
      <c r="A17" s="12">
        <f t="shared" si="0"/>
        <v>15</v>
      </c>
      <c r="B17" s="49"/>
      <c r="C17" s="1">
        <v>1</v>
      </c>
      <c r="D17" s="1"/>
      <c r="E17" s="1" t="s">
        <v>72</v>
      </c>
      <c r="F17" s="1" t="s">
        <v>73</v>
      </c>
      <c r="G17" s="1" t="s">
        <v>74</v>
      </c>
      <c r="H17" s="1" t="s">
        <v>16</v>
      </c>
      <c r="I17" s="1" t="s">
        <v>75</v>
      </c>
      <c r="J17" s="1">
        <v>673337164</v>
      </c>
      <c r="K17" s="1" t="s">
        <v>18</v>
      </c>
      <c r="L17" s="2">
        <v>45477</v>
      </c>
      <c r="M17" s="28">
        <v>12998</v>
      </c>
      <c r="N17" s="28">
        <f>O17-M17</f>
        <v>2502</v>
      </c>
      <c r="O17" s="28">
        <v>15500</v>
      </c>
      <c r="P17" s="8">
        <f t="shared" si="2"/>
        <v>246040</v>
      </c>
      <c r="Q17" s="49"/>
    </row>
    <row r="18" spans="1:17" x14ac:dyDescent="0.25">
      <c r="A18" s="12">
        <f t="shared" si="0"/>
        <v>16</v>
      </c>
      <c r="B18" s="50"/>
      <c r="C18" s="1">
        <v>1</v>
      </c>
      <c r="D18" s="1"/>
      <c r="E18" s="1" t="s">
        <v>76</v>
      </c>
      <c r="F18" s="1" t="s">
        <v>77</v>
      </c>
      <c r="G18" s="1" t="s">
        <v>78</v>
      </c>
      <c r="H18" s="1" t="s">
        <v>16</v>
      </c>
      <c r="I18" s="1" t="s">
        <v>79</v>
      </c>
      <c r="J18" s="1">
        <v>672609163</v>
      </c>
      <c r="K18" s="1" t="s">
        <v>17</v>
      </c>
      <c r="L18" s="2">
        <v>45477</v>
      </c>
      <c r="M18" s="28">
        <v>15011</v>
      </c>
      <c r="N18" s="28">
        <f>O18-M18</f>
        <v>2889</v>
      </c>
      <c r="O18" s="28">
        <v>17900</v>
      </c>
      <c r="P18" s="8">
        <f t="shared" si="2"/>
        <v>263940</v>
      </c>
      <c r="Q18" s="49"/>
    </row>
    <row r="19" spans="1:17" x14ac:dyDescent="0.25">
      <c r="A19" s="12">
        <f t="shared" si="0"/>
        <v>17</v>
      </c>
      <c r="B19" s="26"/>
      <c r="C19" s="1">
        <v>1</v>
      </c>
      <c r="D19" s="1"/>
      <c r="E19" s="1" t="s">
        <v>80</v>
      </c>
      <c r="F19" s="1" t="s">
        <v>81</v>
      </c>
      <c r="G19" t="s">
        <v>82</v>
      </c>
      <c r="H19" s="1" t="s">
        <v>16</v>
      </c>
      <c r="I19" t="s">
        <v>83</v>
      </c>
      <c r="J19" s="1">
        <v>693792523</v>
      </c>
      <c r="K19" s="1" t="s">
        <v>19</v>
      </c>
      <c r="L19" s="2">
        <v>45386</v>
      </c>
      <c r="M19" s="8">
        <v>3774</v>
      </c>
      <c r="N19" s="8">
        <f>O19-M19</f>
        <v>726</v>
      </c>
      <c r="O19" s="8">
        <v>4500</v>
      </c>
      <c r="P19" s="8">
        <f t="shared" si="2"/>
        <v>268440</v>
      </c>
      <c r="Q19" s="50"/>
    </row>
    <row r="20" spans="1:17" x14ac:dyDescent="0.25">
      <c r="A20" s="12">
        <f t="shared" si="0"/>
        <v>18</v>
      </c>
      <c r="B20" s="11"/>
      <c r="C20" s="11"/>
      <c r="D20" s="11"/>
      <c r="E20" s="11"/>
      <c r="F20" s="11"/>
      <c r="G20" s="11" t="s">
        <v>84</v>
      </c>
      <c r="H20" s="11"/>
      <c r="I20" s="11"/>
      <c r="J20" s="11"/>
      <c r="K20" s="11"/>
      <c r="L20" s="11"/>
      <c r="M20" s="11"/>
      <c r="N20" s="11"/>
      <c r="O20" s="11"/>
      <c r="P20" s="9">
        <f t="shared" si="2"/>
        <v>268440</v>
      </c>
      <c r="Q20" s="17"/>
    </row>
    <row r="21" spans="1:17" x14ac:dyDescent="0.25">
      <c r="A21" s="12">
        <f t="shared" si="0"/>
        <v>19</v>
      </c>
      <c r="B21" s="48">
        <v>45296</v>
      </c>
      <c r="C21" s="1">
        <v>1</v>
      </c>
      <c r="D21" s="1"/>
      <c r="E21" s="1" t="s">
        <v>85</v>
      </c>
      <c r="F21" s="1" t="s">
        <v>86</v>
      </c>
      <c r="G21" s="1" t="s">
        <v>87</v>
      </c>
      <c r="H21" s="1" t="s">
        <v>16</v>
      </c>
      <c r="I21" s="1" t="s">
        <v>88</v>
      </c>
      <c r="J21" s="1">
        <v>675853415</v>
      </c>
      <c r="K21" s="1" t="s">
        <v>19</v>
      </c>
      <c r="L21" s="2">
        <v>45387</v>
      </c>
      <c r="M21" s="8">
        <v>3774</v>
      </c>
      <c r="N21" s="8">
        <f>O21-M21</f>
        <v>726</v>
      </c>
      <c r="O21" s="8">
        <v>4500</v>
      </c>
      <c r="P21" s="8">
        <f t="shared" si="2"/>
        <v>272940</v>
      </c>
      <c r="Q21" s="51">
        <f>O21+O22+O23+O24+O25+O26</f>
        <v>126440</v>
      </c>
    </row>
    <row r="22" spans="1:17" x14ac:dyDescent="0.25">
      <c r="A22" s="12">
        <f t="shared" si="0"/>
        <v>20</v>
      </c>
      <c r="B22" s="49"/>
      <c r="C22" s="1">
        <v>1</v>
      </c>
      <c r="D22" s="1"/>
      <c r="E22" s="1" t="s">
        <v>89</v>
      </c>
      <c r="F22" s="1" t="s">
        <v>90</v>
      </c>
      <c r="G22" s="1" t="s">
        <v>91</v>
      </c>
      <c r="H22" s="1" t="s">
        <v>16</v>
      </c>
      <c r="I22" s="1" t="s">
        <v>92</v>
      </c>
      <c r="J22" s="1">
        <v>675279838</v>
      </c>
      <c r="K22" s="1" t="s">
        <v>17</v>
      </c>
      <c r="L22" s="2">
        <v>45662</v>
      </c>
      <c r="M22" s="29">
        <v>14256</v>
      </c>
      <c r="N22" s="29">
        <f t="shared" ref="N22:N26" si="5">O22-M22</f>
        <v>2744</v>
      </c>
      <c r="O22" s="29">
        <v>17000</v>
      </c>
      <c r="P22" s="8">
        <f t="shared" si="2"/>
        <v>289940</v>
      </c>
      <c r="Q22" s="52"/>
    </row>
    <row r="23" spans="1:17" x14ac:dyDescent="0.25">
      <c r="A23" s="12">
        <f t="shared" si="0"/>
        <v>21</v>
      </c>
      <c r="B23" s="49"/>
      <c r="C23" s="1">
        <v>1</v>
      </c>
      <c r="D23" s="1"/>
      <c r="E23" s="1" t="s">
        <v>93</v>
      </c>
      <c r="F23" s="1" t="s">
        <v>94</v>
      </c>
      <c r="G23" s="1" t="s">
        <v>95</v>
      </c>
      <c r="H23" s="1" t="s">
        <v>16</v>
      </c>
      <c r="I23" s="1" t="s">
        <v>96</v>
      </c>
      <c r="J23" s="1">
        <v>694040458</v>
      </c>
      <c r="K23" s="1" t="s">
        <v>21</v>
      </c>
      <c r="L23" s="2">
        <v>45478</v>
      </c>
      <c r="M23" s="29">
        <v>22001</v>
      </c>
      <c r="N23" s="29">
        <f t="shared" si="5"/>
        <v>4234</v>
      </c>
      <c r="O23" s="29">
        <v>26235</v>
      </c>
      <c r="P23" s="8">
        <f t="shared" si="2"/>
        <v>316175</v>
      </c>
      <c r="Q23" s="52"/>
    </row>
    <row r="24" spans="1:17" x14ac:dyDescent="0.25">
      <c r="A24" s="12">
        <f t="shared" si="0"/>
        <v>22</v>
      </c>
      <c r="B24" s="49"/>
      <c r="C24" s="1">
        <v>1</v>
      </c>
      <c r="D24" s="1"/>
      <c r="E24" s="1" t="s">
        <v>97</v>
      </c>
      <c r="F24" s="1" t="s">
        <v>98</v>
      </c>
      <c r="G24" s="1" t="s">
        <v>95</v>
      </c>
      <c r="H24" s="1" t="s">
        <v>16</v>
      </c>
      <c r="I24" s="1" t="s">
        <v>99</v>
      </c>
      <c r="J24" s="1">
        <v>694040458</v>
      </c>
      <c r="K24" s="1" t="s">
        <v>21</v>
      </c>
      <c r="L24" s="2">
        <v>45478</v>
      </c>
      <c r="M24" s="29">
        <v>22001</v>
      </c>
      <c r="N24" s="29">
        <f t="shared" si="5"/>
        <v>4234</v>
      </c>
      <c r="O24" s="29">
        <v>26235</v>
      </c>
      <c r="P24" s="8">
        <f t="shared" si="2"/>
        <v>342410</v>
      </c>
      <c r="Q24" s="52"/>
    </row>
    <row r="25" spans="1:17" x14ac:dyDescent="0.25">
      <c r="A25" s="12">
        <f t="shared" si="0"/>
        <v>23</v>
      </c>
      <c r="B25" s="50"/>
      <c r="C25" s="1">
        <v>1</v>
      </c>
      <c r="D25" s="1"/>
      <c r="E25" s="1" t="s">
        <v>100</v>
      </c>
      <c r="F25" s="1" t="s">
        <v>101</v>
      </c>
      <c r="G25" s="1" t="s">
        <v>20</v>
      </c>
      <c r="H25" s="1" t="s">
        <v>16</v>
      </c>
      <c r="I25" s="1" t="s">
        <v>102</v>
      </c>
      <c r="J25" s="1">
        <v>692077013</v>
      </c>
      <c r="K25" s="1" t="s">
        <v>21</v>
      </c>
      <c r="L25" s="2">
        <v>45478</v>
      </c>
      <c r="M25" s="29">
        <v>22001</v>
      </c>
      <c r="N25" s="29">
        <f t="shared" si="5"/>
        <v>4234</v>
      </c>
      <c r="O25" s="29">
        <v>26235</v>
      </c>
      <c r="P25" s="8">
        <f t="shared" si="2"/>
        <v>368645</v>
      </c>
      <c r="Q25" s="52"/>
    </row>
    <row r="26" spans="1:17" x14ac:dyDescent="0.25">
      <c r="A26" s="12"/>
      <c r="B26" s="26"/>
      <c r="C26" s="1">
        <v>1</v>
      </c>
      <c r="D26" s="1"/>
      <c r="E26" s="1" t="s">
        <v>103</v>
      </c>
      <c r="F26" s="1" t="s">
        <v>104</v>
      </c>
      <c r="G26" t="s">
        <v>105</v>
      </c>
      <c r="H26" s="1" t="s">
        <v>16</v>
      </c>
      <c r="I26" t="s">
        <v>106</v>
      </c>
      <c r="J26" s="1">
        <v>691886080</v>
      </c>
      <c r="K26" s="1" t="s">
        <v>21</v>
      </c>
      <c r="L26" s="2">
        <v>45478</v>
      </c>
      <c r="M26" s="29">
        <v>22001</v>
      </c>
      <c r="N26" s="29">
        <f t="shared" si="5"/>
        <v>4234</v>
      </c>
      <c r="O26" s="29">
        <v>26235</v>
      </c>
      <c r="P26" s="8">
        <f t="shared" si="2"/>
        <v>394880</v>
      </c>
      <c r="Q26" s="53"/>
    </row>
    <row r="27" spans="1:17" x14ac:dyDescent="0.25">
      <c r="A27" s="12">
        <f>A25+1</f>
        <v>24</v>
      </c>
      <c r="B27" s="11"/>
      <c r="C27" s="11"/>
      <c r="D27" s="11"/>
      <c r="E27" s="11"/>
      <c r="F27" s="11"/>
      <c r="G27" s="11" t="s">
        <v>107</v>
      </c>
      <c r="H27" s="11"/>
      <c r="I27" s="11"/>
      <c r="J27" s="11"/>
      <c r="K27" s="11"/>
      <c r="L27" s="11"/>
      <c r="M27" s="11"/>
      <c r="N27" s="11"/>
      <c r="O27" s="11"/>
      <c r="P27" s="9">
        <f t="shared" si="2"/>
        <v>394880</v>
      </c>
      <c r="Q27" s="17"/>
    </row>
    <row r="28" spans="1:17" x14ac:dyDescent="0.25">
      <c r="A28" s="12">
        <f t="shared" si="0"/>
        <v>25</v>
      </c>
      <c r="B28" s="48">
        <v>45297</v>
      </c>
      <c r="C28" s="1">
        <v>1</v>
      </c>
      <c r="D28" s="1"/>
      <c r="E28" s="1" t="s">
        <v>108</v>
      </c>
      <c r="F28" s="1" t="s">
        <v>109</v>
      </c>
      <c r="G28" s="1" t="s">
        <v>110</v>
      </c>
      <c r="H28" s="1" t="s">
        <v>16</v>
      </c>
      <c r="I28" s="1" t="s">
        <v>111</v>
      </c>
      <c r="J28" s="1">
        <v>675043957</v>
      </c>
      <c r="K28" s="1" t="s">
        <v>17</v>
      </c>
      <c r="L28" s="2">
        <v>45663</v>
      </c>
      <c r="M28" s="30">
        <v>14256</v>
      </c>
      <c r="N28" s="30">
        <f t="shared" ref="N28:N44" si="6">O28-M28</f>
        <v>2744</v>
      </c>
      <c r="O28" s="30">
        <v>17000</v>
      </c>
      <c r="P28" s="30">
        <f t="shared" si="2"/>
        <v>411880</v>
      </c>
      <c r="Q28" s="58">
        <f>O28+O29</f>
        <v>42000</v>
      </c>
    </row>
    <row r="29" spans="1:17" x14ac:dyDescent="0.25">
      <c r="A29" s="12">
        <f t="shared" si="0"/>
        <v>26</v>
      </c>
      <c r="B29" s="50"/>
      <c r="C29" s="1">
        <v>1</v>
      </c>
      <c r="D29" s="1"/>
      <c r="E29" s="1" t="s">
        <v>112</v>
      </c>
      <c r="F29" s="1" t="s">
        <v>113</v>
      </c>
      <c r="G29" s="1" t="s">
        <v>114</v>
      </c>
      <c r="H29" s="1" t="s">
        <v>16</v>
      </c>
      <c r="I29" s="1" t="s">
        <v>115</v>
      </c>
      <c r="J29" s="1">
        <v>678913314</v>
      </c>
      <c r="K29" s="1" t="s">
        <v>21</v>
      </c>
      <c r="L29" s="2">
        <v>45479</v>
      </c>
      <c r="M29" s="30">
        <v>20965</v>
      </c>
      <c r="N29" s="30">
        <f t="shared" si="6"/>
        <v>4035</v>
      </c>
      <c r="O29" s="30">
        <v>25000</v>
      </c>
      <c r="P29" s="30">
        <f t="shared" si="2"/>
        <v>436880</v>
      </c>
      <c r="Q29" s="55"/>
    </row>
    <row r="30" spans="1:17" x14ac:dyDescent="0.25">
      <c r="A30" s="12">
        <f t="shared" si="0"/>
        <v>27</v>
      </c>
      <c r="B30" s="11"/>
      <c r="C30" s="11"/>
      <c r="D30" s="11"/>
      <c r="E30" s="11"/>
      <c r="F30" s="11"/>
      <c r="G30" s="11" t="s">
        <v>116</v>
      </c>
      <c r="H30" s="11"/>
      <c r="I30" s="11"/>
      <c r="J30" s="11"/>
      <c r="K30" s="11"/>
      <c r="L30" s="11"/>
      <c r="M30" s="31"/>
      <c r="N30" s="31">
        <f t="shared" si="6"/>
        <v>0</v>
      </c>
      <c r="O30" s="31"/>
      <c r="P30" s="31">
        <f t="shared" si="2"/>
        <v>436880</v>
      </c>
      <c r="Q30" s="11"/>
    </row>
    <row r="31" spans="1:17" x14ac:dyDescent="0.25">
      <c r="A31" s="12">
        <f t="shared" si="0"/>
        <v>28</v>
      </c>
      <c r="B31" s="48">
        <v>45299</v>
      </c>
      <c r="C31" s="1">
        <v>1</v>
      </c>
      <c r="D31" s="1"/>
      <c r="E31" s="1" t="s">
        <v>117</v>
      </c>
      <c r="F31" s="1" t="s">
        <v>118</v>
      </c>
      <c r="G31" s="1" t="s">
        <v>119</v>
      </c>
      <c r="H31" s="1" t="s">
        <v>16</v>
      </c>
      <c r="I31" s="1" t="s">
        <v>120</v>
      </c>
      <c r="J31" s="1">
        <v>675786780</v>
      </c>
      <c r="K31" s="1" t="s">
        <v>18</v>
      </c>
      <c r="L31" s="2">
        <v>45481</v>
      </c>
      <c r="M31" s="30">
        <v>12579</v>
      </c>
      <c r="N31" s="30">
        <f t="shared" si="6"/>
        <v>2421</v>
      </c>
      <c r="O31" s="30">
        <v>15000</v>
      </c>
      <c r="P31" s="30">
        <f t="shared" si="2"/>
        <v>451880</v>
      </c>
      <c r="Q31" s="51">
        <f>O31+O32+O33+O34+O35</f>
        <v>72300</v>
      </c>
    </row>
    <row r="32" spans="1:17" x14ac:dyDescent="0.25">
      <c r="A32" s="12">
        <f t="shared" si="0"/>
        <v>29</v>
      </c>
      <c r="B32" s="49"/>
      <c r="C32" s="1">
        <v>1</v>
      </c>
      <c r="D32" s="1"/>
      <c r="E32" s="1" t="s">
        <v>121</v>
      </c>
      <c r="F32" s="1" t="s">
        <v>122</v>
      </c>
      <c r="G32" s="1" t="s">
        <v>123</v>
      </c>
      <c r="H32" s="1" t="s">
        <v>16</v>
      </c>
      <c r="I32" s="1" t="s">
        <v>124</v>
      </c>
      <c r="J32" s="1">
        <v>674340088</v>
      </c>
      <c r="K32" s="1" t="s">
        <v>17</v>
      </c>
      <c r="L32" s="2">
        <v>45665</v>
      </c>
      <c r="M32" s="28">
        <v>15011</v>
      </c>
      <c r="N32" s="28">
        <f>O32-M32</f>
        <v>2889</v>
      </c>
      <c r="O32" s="28">
        <v>17900</v>
      </c>
      <c r="P32" s="8">
        <f t="shared" si="2"/>
        <v>469780</v>
      </c>
      <c r="Q32" s="49"/>
    </row>
    <row r="33" spans="1:17" x14ac:dyDescent="0.25">
      <c r="A33" s="12">
        <f t="shared" si="0"/>
        <v>30</v>
      </c>
      <c r="B33" s="49"/>
      <c r="C33" s="1">
        <v>1</v>
      </c>
      <c r="D33" s="1"/>
      <c r="E33" s="1" t="s">
        <v>125</v>
      </c>
      <c r="F33" s="1" t="s">
        <v>126</v>
      </c>
      <c r="G33" s="1" t="s">
        <v>127</v>
      </c>
      <c r="H33" s="1" t="s">
        <v>16</v>
      </c>
      <c r="I33" s="1" t="s">
        <v>128</v>
      </c>
      <c r="J33" s="1">
        <v>697031534</v>
      </c>
      <c r="K33" s="1" t="s">
        <v>17</v>
      </c>
      <c r="L33" s="2">
        <v>45665</v>
      </c>
      <c r="M33" s="28">
        <v>15011</v>
      </c>
      <c r="N33" s="28">
        <f>O33-M33</f>
        <v>2889</v>
      </c>
      <c r="O33" s="28">
        <v>17900</v>
      </c>
      <c r="P33" s="8">
        <f t="shared" si="2"/>
        <v>487680</v>
      </c>
      <c r="Q33" s="49"/>
    </row>
    <row r="34" spans="1:17" x14ac:dyDescent="0.25">
      <c r="A34" s="12">
        <f t="shared" si="0"/>
        <v>31</v>
      </c>
      <c r="B34" s="49"/>
      <c r="C34" s="1">
        <v>1</v>
      </c>
      <c r="D34" s="1"/>
      <c r="E34" s="1" t="s">
        <v>129</v>
      </c>
      <c r="F34" s="1" t="s">
        <v>130</v>
      </c>
      <c r="G34" s="1" t="s">
        <v>131</v>
      </c>
      <c r="H34" s="1" t="s">
        <v>16</v>
      </c>
      <c r="I34" s="1" t="s">
        <v>132</v>
      </c>
      <c r="J34" s="1">
        <v>694588525</v>
      </c>
      <c r="K34" s="1" t="s">
        <v>17</v>
      </c>
      <c r="L34" s="2">
        <v>45665</v>
      </c>
      <c r="M34" s="29">
        <v>14256</v>
      </c>
      <c r="N34" s="29">
        <f t="shared" ref="N34" si="7">O34-M34</f>
        <v>2744</v>
      </c>
      <c r="O34" s="29">
        <v>17000</v>
      </c>
      <c r="P34" s="8">
        <f t="shared" si="2"/>
        <v>504680</v>
      </c>
      <c r="Q34" s="49"/>
    </row>
    <row r="35" spans="1:17" x14ac:dyDescent="0.25">
      <c r="A35" s="12">
        <f t="shared" si="0"/>
        <v>32</v>
      </c>
      <c r="B35" s="50"/>
      <c r="C35" s="1">
        <v>1</v>
      </c>
      <c r="D35" s="1"/>
      <c r="E35" s="1" t="s">
        <v>133</v>
      </c>
      <c r="F35" s="1" t="s">
        <v>134</v>
      </c>
      <c r="G35" s="1" t="s">
        <v>135</v>
      </c>
      <c r="H35" s="1" t="s">
        <v>16</v>
      </c>
      <c r="I35" s="1" t="s">
        <v>136</v>
      </c>
      <c r="J35" s="1">
        <v>676381040</v>
      </c>
      <c r="K35" s="1" t="s">
        <v>19</v>
      </c>
      <c r="L35" s="2">
        <v>45390</v>
      </c>
      <c r="M35" s="8">
        <v>3774</v>
      </c>
      <c r="N35" s="8">
        <f>O35-M35</f>
        <v>726</v>
      </c>
      <c r="O35" s="8">
        <v>4500</v>
      </c>
      <c r="P35" s="8">
        <f t="shared" si="2"/>
        <v>509180</v>
      </c>
      <c r="Q35" s="50"/>
    </row>
    <row r="36" spans="1:17" x14ac:dyDescent="0.25">
      <c r="A36" s="12">
        <f t="shared" si="0"/>
        <v>33</v>
      </c>
      <c r="B36" s="19"/>
      <c r="C36" s="19"/>
      <c r="D36" s="19"/>
      <c r="E36" s="19"/>
      <c r="F36" s="19"/>
      <c r="G36" s="19" t="s">
        <v>137</v>
      </c>
      <c r="H36" s="19"/>
      <c r="I36" s="19"/>
      <c r="J36" s="19"/>
      <c r="K36" s="19"/>
      <c r="L36" s="19"/>
      <c r="M36" s="19"/>
      <c r="N36" s="32">
        <f t="shared" si="6"/>
        <v>0</v>
      </c>
      <c r="O36" s="19"/>
      <c r="P36" s="20">
        <f t="shared" si="2"/>
        <v>509180</v>
      </c>
      <c r="Q36" s="19"/>
    </row>
    <row r="37" spans="1:17" x14ac:dyDescent="0.25">
      <c r="A37" s="12">
        <f t="shared" si="0"/>
        <v>34</v>
      </c>
      <c r="B37" s="48">
        <v>45300</v>
      </c>
      <c r="C37" s="1">
        <v>1</v>
      </c>
      <c r="D37" s="1"/>
      <c r="E37" s="1" t="s">
        <v>138</v>
      </c>
      <c r="F37" s="1" t="s">
        <v>139</v>
      </c>
      <c r="G37" s="1" t="s">
        <v>140</v>
      </c>
      <c r="H37" s="1" t="s">
        <v>16</v>
      </c>
      <c r="I37" s="1" t="s">
        <v>141</v>
      </c>
      <c r="J37" s="1">
        <v>677603455</v>
      </c>
      <c r="K37" s="1" t="s">
        <v>21</v>
      </c>
      <c r="L37" s="2">
        <v>45482</v>
      </c>
      <c r="M37" s="29">
        <v>22001</v>
      </c>
      <c r="N37" s="29">
        <f t="shared" si="6"/>
        <v>4234</v>
      </c>
      <c r="O37" s="29">
        <v>26235</v>
      </c>
      <c r="P37" s="8">
        <f t="shared" si="2"/>
        <v>535415</v>
      </c>
      <c r="Q37" s="51">
        <f>O37+O38</f>
        <v>52470</v>
      </c>
    </row>
    <row r="38" spans="1:17" x14ac:dyDescent="0.25">
      <c r="A38" s="12">
        <f t="shared" si="0"/>
        <v>35</v>
      </c>
      <c r="B38" s="56"/>
      <c r="C38" s="1">
        <v>1</v>
      </c>
      <c r="D38" s="1"/>
      <c r="E38" s="1" t="s">
        <v>142</v>
      </c>
      <c r="F38" s="1" t="s">
        <v>143</v>
      </c>
      <c r="G38" s="1" t="s">
        <v>140</v>
      </c>
      <c r="H38" s="1" t="s">
        <v>16</v>
      </c>
      <c r="I38" t="s">
        <v>144</v>
      </c>
      <c r="J38" s="1">
        <v>677603455</v>
      </c>
      <c r="K38" s="1" t="s">
        <v>21</v>
      </c>
      <c r="L38" s="2">
        <v>45482</v>
      </c>
      <c r="M38" s="29">
        <v>22001</v>
      </c>
      <c r="N38" s="29">
        <f t="shared" si="6"/>
        <v>4234</v>
      </c>
      <c r="O38" s="29">
        <v>26235</v>
      </c>
      <c r="P38" s="8">
        <f t="shared" si="2"/>
        <v>561650</v>
      </c>
      <c r="Q38" s="52"/>
    </row>
    <row r="39" spans="1:17" x14ac:dyDescent="0.25">
      <c r="A39" s="12">
        <f t="shared" si="0"/>
        <v>36</v>
      </c>
      <c r="B39" s="11"/>
      <c r="C39" s="11"/>
      <c r="D39" s="11"/>
      <c r="E39" s="11"/>
      <c r="F39" s="11"/>
      <c r="G39" s="11" t="s">
        <v>145</v>
      </c>
      <c r="H39" s="11"/>
      <c r="I39" s="11"/>
      <c r="J39" s="11"/>
      <c r="K39" s="11"/>
      <c r="L39" s="11"/>
      <c r="M39" s="11"/>
      <c r="N39" s="31">
        <f t="shared" si="6"/>
        <v>0</v>
      </c>
      <c r="O39" s="11"/>
      <c r="P39" s="9">
        <f t="shared" si="2"/>
        <v>561650</v>
      </c>
      <c r="Q39" s="11"/>
    </row>
    <row r="40" spans="1:17" x14ac:dyDescent="0.25">
      <c r="A40" s="12">
        <f t="shared" si="0"/>
        <v>37</v>
      </c>
      <c r="B40" s="48">
        <v>45301</v>
      </c>
      <c r="C40" s="1">
        <v>1</v>
      </c>
      <c r="D40" s="1"/>
      <c r="E40" s="1" t="s">
        <v>146</v>
      </c>
      <c r="F40" s="1" t="s">
        <v>147</v>
      </c>
      <c r="G40" s="1" t="s">
        <v>148</v>
      </c>
      <c r="H40" s="1" t="s">
        <v>16</v>
      </c>
      <c r="I40" s="1" t="s">
        <v>149</v>
      </c>
      <c r="J40" s="1">
        <v>691384241</v>
      </c>
      <c r="K40" s="1" t="s">
        <v>16</v>
      </c>
      <c r="L40" s="2">
        <v>45392</v>
      </c>
      <c r="M40" s="30">
        <v>16001</v>
      </c>
      <c r="N40" s="30">
        <f t="shared" si="6"/>
        <v>3079</v>
      </c>
      <c r="O40" s="30">
        <v>19080</v>
      </c>
      <c r="P40" s="30">
        <f t="shared" si="2"/>
        <v>580730</v>
      </c>
      <c r="Q40" s="51">
        <f>O40+O41+O42+O43+O44</f>
        <v>124020</v>
      </c>
    </row>
    <row r="41" spans="1:17" x14ac:dyDescent="0.25">
      <c r="A41" s="12">
        <f t="shared" si="0"/>
        <v>38</v>
      </c>
      <c r="B41" s="49"/>
      <c r="C41" s="1">
        <v>1</v>
      </c>
      <c r="D41" s="1"/>
      <c r="E41" s="1" t="s">
        <v>150</v>
      </c>
      <c r="F41" s="1" t="s">
        <v>151</v>
      </c>
      <c r="G41" s="1" t="s">
        <v>152</v>
      </c>
      <c r="H41" s="1" t="s">
        <v>16</v>
      </c>
      <c r="I41" s="1" t="s">
        <v>153</v>
      </c>
      <c r="J41" s="1">
        <v>694742278</v>
      </c>
      <c r="K41" s="1" t="s">
        <v>21</v>
      </c>
      <c r="L41" s="2">
        <v>45483</v>
      </c>
      <c r="M41" s="29">
        <v>22001</v>
      </c>
      <c r="N41" s="29">
        <f t="shared" si="6"/>
        <v>4234</v>
      </c>
      <c r="O41" s="29">
        <v>26235</v>
      </c>
      <c r="P41" s="8">
        <f t="shared" si="2"/>
        <v>606965</v>
      </c>
      <c r="Q41" s="49"/>
    </row>
    <row r="42" spans="1:17" x14ac:dyDescent="0.25">
      <c r="A42" s="12">
        <f t="shared" si="0"/>
        <v>39</v>
      </c>
      <c r="B42" s="49"/>
      <c r="C42" s="1">
        <v>1</v>
      </c>
      <c r="D42" s="1"/>
      <c r="E42" s="1" t="s">
        <v>154</v>
      </c>
      <c r="F42" s="1" t="s">
        <v>155</v>
      </c>
      <c r="G42" s="1" t="s">
        <v>156</v>
      </c>
      <c r="H42" s="1" t="s">
        <v>16</v>
      </c>
      <c r="I42" s="1" t="s">
        <v>157</v>
      </c>
      <c r="J42" s="1">
        <v>694742278</v>
      </c>
      <c r="K42" s="1" t="s">
        <v>21</v>
      </c>
      <c r="L42" s="2">
        <v>45483</v>
      </c>
      <c r="M42" s="29">
        <v>22001</v>
      </c>
      <c r="N42" s="29">
        <f t="shared" si="6"/>
        <v>4234</v>
      </c>
      <c r="O42" s="29">
        <v>26235</v>
      </c>
      <c r="P42" s="8">
        <f t="shared" si="2"/>
        <v>633200</v>
      </c>
      <c r="Q42" s="49"/>
    </row>
    <row r="43" spans="1:17" x14ac:dyDescent="0.25">
      <c r="A43" s="12">
        <f t="shared" si="0"/>
        <v>40</v>
      </c>
      <c r="B43" s="49"/>
      <c r="C43" s="1">
        <v>1</v>
      </c>
      <c r="D43" s="1"/>
      <c r="E43" s="1" t="s">
        <v>158</v>
      </c>
      <c r="F43" s="1" t="s">
        <v>159</v>
      </c>
      <c r="G43" s="1" t="s">
        <v>160</v>
      </c>
      <c r="H43" s="1" t="s">
        <v>16</v>
      </c>
      <c r="I43" s="1" t="s">
        <v>161</v>
      </c>
      <c r="J43" s="1">
        <v>697516155</v>
      </c>
      <c r="K43" s="1" t="s">
        <v>21</v>
      </c>
      <c r="L43" s="2">
        <v>45483</v>
      </c>
      <c r="M43" s="29">
        <v>22001</v>
      </c>
      <c r="N43" s="29">
        <f t="shared" si="6"/>
        <v>4234</v>
      </c>
      <c r="O43" s="29">
        <v>26235</v>
      </c>
      <c r="P43" s="8">
        <f t="shared" si="2"/>
        <v>659435</v>
      </c>
      <c r="Q43" s="49"/>
    </row>
    <row r="44" spans="1:17" x14ac:dyDescent="0.25">
      <c r="A44" s="12">
        <f t="shared" si="0"/>
        <v>41</v>
      </c>
      <c r="B44" s="50"/>
      <c r="C44" s="1">
        <v>1</v>
      </c>
      <c r="D44" s="1"/>
      <c r="E44" s="1" t="s">
        <v>162</v>
      </c>
      <c r="F44" s="1" t="s">
        <v>163</v>
      </c>
      <c r="G44" s="1" t="s">
        <v>164</v>
      </c>
      <c r="H44" s="1" t="s">
        <v>16</v>
      </c>
      <c r="I44" s="1" t="s">
        <v>165</v>
      </c>
      <c r="J44" s="1">
        <v>695792573</v>
      </c>
      <c r="K44" s="1" t="s">
        <v>21</v>
      </c>
      <c r="L44" s="2">
        <v>45483</v>
      </c>
      <c r="M44" s="29">
        <v>22001</v>
      </c>
      <c r="N44" s="29">
        <f t="shared" si="6"/>
        <v>4234</v>
      </c>
      <c r="O44" s="29">
        <v>26235</v>
      </c>
      <c r="P44" s="8">
        <f t="shared" si="2"/>
        <v>685670</v>
      </c>
      <c r="Q44" s="50"/>
    </row>
    <row r="45" spans="1:17" x14ac:dyDescent="0.25">
      <c r="A45" s="12">
        <f t="shared" si="0"/>
        <v>42</v>
      </c>
      <c r="B45" s="11"/>
      <c r="C45" s="11"/>
      <c r="D45" s="11"/>
      <c r="E45" s="11"/>
      <c r="F45" s="11"/>
      <c r="G45" s="11" t="s">
        <v>166</v>
      </c>
      <c r="H45" s="11" t="s">
        <v>16</v>
      </c>
      <c r="I45" s="11"/>
      <c r="J45" s="11"/>
      <c r="K45" s="11"/>
      <c r="L45" s="11"/>
      <c r="M45" s="11"/>
      <c r="N45" s="11"/>
      <c r="O45" s="11"/>
      <c r="P45" s="9">
        <f t="shared" si="2"/>
        <v>685670</v>
      </c>
      <c r="Q45" s="11"/>
    </row>
    <row r="46" spans="1:17" x14ac:dyDescent="0.25">
      <c r="A46" s="12">
        <f t="shared" si="0"/>
        <v>43</v>
      </c>
      <c r="B46" s="48">
        <v>45302</v>
      </c>
      <c r="C46" s="1">
        <v>1</v>
      </c>
      <c r="D46" s="1"/>
      <c r="E46" s="1" t="s">
        <v>167</v>
      </c>
      <c r="F46" s="1" t="s">
        <v>168</v>
      </c>
      <c r="G46" s="1" t="s">
        <v>169</v>
      </c>
      <c r="H46" s="1" t="s">
        <v>16</v>
      </c>
      <c r="I46" s="1" t="s">
        <v>170</v>
      </c>
      <c r="J46" s="1">
        <v>699691427</v>
      </c>
      <c r="K46" s="1" t="s">
        <v>17</v>
      </c>
      <c r="L46" s="2">
        <v>45668</v>
      </c>
      <c r="M46" s="29">
        <v>14256</v>
      </c>
      <c r="N46" s="29">
        <f t="shared" ref="N46:N48" si="8">O46-M46</f>
        <v>2744</v>
      </c>
      <c r="O46" s="29">
        <v>17000</v>
      </c>
      <c r="P46" s="8">
        <f t="shared" si="2"/>
        <v>702670</v>
      </c>
      <c r="Q46" s="51">
        <f>O46+O47+O48+O49+O50+O51+O52</f>
        <v>137270</v>
      </c>
    </row>
    <row r="47" spans="1:17" x14ac:dyDescent="0.25">
      <c r="A47" s="12">
        <f t="shared" si="0"/>
        <v>44</v>
      </c>
      <c r="B47" s="49"/>
      <c r="C47" s="1">
        <v>1</v>
      </c>
      <c r="D47" s="1"/>
      <c r="E47" s="1" t="s">
        <v>171</v>
      </c>
      <c r="F47" s="1" t="s">
        <v>172</v>
      </c>
      <c r="G47" s="1" t="s">
        <v>173</v>
      </c>
      <c r="H47" s="1" t="s">
        <v>16</v>
      </c>
      <c r="I47" s="1" t="s">
        <v>174</v>
      </c>
      <c r="J47" s="1">
        <v>678752488</v>
      </c>
      <c r="K47" s="1" t="s">
        <v>21</v>
      </c>
      <c r="L47" s="2">
        <v>45484</v>
      </c>
      <c r="M47" s="29">
        <v>22001</v>
      </c>
      <c r="N47" s="29">
        <f t="shared" si="8"/>
        <v>4234</v>
      </c>
      <c r="O47" s="29">
        <v>26235</v>
      </c>
      <c r="P47" s="8">
        <f t="shared" si="2"/>
        <v>728905</v>
      </c>
      <c r="Q47" s="49"/>
    </row>
    <row r="48" spans="1:17" x14ac:dyDescent="0.25">
      <c r="A48" s="12">
        <f t="shared" si="0"/>
        <v>45</v>
      </c>
      <c r="B48" s="49"/>
      <c r="C48" s="1">
        <v>1</v>
      </c>
      <c r="D48" s="1"/>
      <c r="E48" s="1" t="s">
        <v>175</v>
      </c>
      <c r="F48" s="1" t="s">
        <v>176</v>
      </c>
      <c r="G48" s="1" t="s">
        <v>177</v>
      </c>
      <c r="H48" s="1" t="s">
        <v>16</v>
      </c>
      <c r="I48" s="1" t="s">
        <v>178</v>
      </c>
      <c r="J48" s="1">
        <v>677656352</v>
      </c>
      <c r="K48" s="1" t="s">
        <v>17</v>
      </c>
      <c r="L48" s="2">
        <v>45668</v>
      </c>
      <c r="M48" s="29">
        <v>14256</v>
      </c>
      <c r="N48" s="29">
        <f t="shared" si="8"/>
        <v>2744</v>
      </c>
      <c r="O48" s="29">
        <v>17000</v>
      </c>
      <c r="P48" s="8">
        <f t="shared" si="2"/>
        <v>745905</v>
      </c>
      <c r="Q48" s="49"/>
    </row>
    <row r="49" spans="1:17" x14ac:dyDescent="0.25">
      <c r="A49" s="12">
        <f t="shared" si="0"/>
        <v>46</v>
      </c>
      <c r="B49" s="49"/>
      <c r="C49" s="1">
        <v>1</v>
      </c>
      <c r="D49" s="1"/>
      <c r="E49" s="1" t="s">
        <v>179</v>
      </c>
      <c r="F49" s="1" t="s">
        <v>180</v>
      </c>
      <c r="G49" s="1" t="s">
        <v>181</v>
      </c>
      <c r="H49" s="1" t="s">
        <v>16</v>
      </c>
      <c r="I49" s="1" t="s">
        <v>182</v>
      </c>
      <c r="J49" s="1">
        <v>698664280</v>
      </c>
      <c r="K49" s="1" t="s">
        <v>17</v>
      </c>
      <c r="L49" s="2">
        <v>45668</v>
      </c>
      <c r="M49" s="28">
        <v>15011</v>
      </c>
      <c r="N49" s="28">
        <f>O49-M49</f>
        <v>2889</v>
      </c>
      <c r="O49" s="28">
        <v>17900</v>
      </c>
      <c r="P49" s="8">
        <f t="shared" si="2"/>
        <v>763805</v>
      </c>
      <c r="Q49" s="49"/>
    </row>
    <row r="50" spans="1:17" x14ac:dyDescent="0.25">
      <c r="A50" s="12">
        <f t="shared" si="0"/>
        <v>47</v>
      </c>
      <c r="B50" s="49"/>
      <c r="C50" s="1">
        <v>1</v>
      </c>
      <c r="D50" s="1"/>
      <c r="E50" s="1" t="s">
        <v>183</v>
      </c>
      <c r="F50" s="1" t="s">
        <v>184</v>
      </c>
      <c r="G50" s="1" t="s">
        <v>185</v>
      </c>
      <c r="H50" s="1" t="s">
        <v>16</v>
      </c>
      <c r="I50" s="1" t="s">
        <v>186</v>
      </c>
      <c r="J50" s="1">
        <v>674922242</v>
      </c>
      <c r="K50" s="1" t="s">
        <v>16</v>
      </c>
      <c r="L50" s="2">
        <v>45393</v>
      </c>
      <c r="M50" s="30">
        <v>12579</v>
      </c>
      <c r="N50" s="30">
        <f t="shared" ref="N50" si="9">O50-M50</f>
        <v>2421</v>
      </c>
      <c r="O50" s="30">
        <v>15000</v>
      </c>
      <c r="P50" s="8">
        <f t="shared" si="2"/>
        <v>778805</v>
      </c>
      <c r="Q50" s="49"/>
    </row>
    <row r="51" spans="1:17" x14ac:dyDescent="0.25">
      <c r="A51" s="12">
        <f t="shared" si="0"/>
        <v>48</v>
      </c>
      <c r="B51" s="49"/>
      <c r="C51" s="1">
        <v>1</v>
      </c>
      <c r="D51" s="1"/>
      <c r="E51" s="1" t="s">
        <v>187</v>
      </c>
      <c r="F51" s="1" t="s">
        <v>188</v>
      </c>
      <c r="G51" s="1" t="s">
        <v>189</v>
      </c>
      <c r="H51" s="1" t="s">
        <v>16</v>
      </c>
      <c r="I51" s="1" t="s">
        <v>190</v>
      </c>
      <c r="J51" s="1">
        <v>697356488</v>
      </c>
      <c r="K51" s="1" t="s">
        <v>17</v>
      </c>
      <c r="L51" s="2">
        <v>45668</v>
      </c>
      <c r="M51" s="28">
        <v>15011</v>
      </c>
      <c r="N51" s="28">
        <f>O51-M51</f>
        <v>2889</v>
      </c>
      <c r="O51" s="28">
        <v>17900</v>
      </c>
      <c r="P51" s="8">
        <f t="shared" si="2"/>
        <v>796705</v>
      </c>
      <c r="Q51" s="49"/>
    </row>
    <row r="52" spans="1:17" x14ac:dyDescent="0.25">
      <c r="A52" s="12">
        <f t="shared" si="0"/>
        <v>49</v>
      </c>
      <c r="B52" s="49"/>
      <c r="C52" s="1">
        <v>1</v>
      </c>
      <c r="D52" s="1"/>
      <c r="E52" s="1" t="s">
        <v>191</v>
      </c>
      <c r="F52" s="1" t="s">
        <v>192</v>
      </c>
      <c r="G52" t="s">
        <v>193</v>
      </c>
      <c r="H52" s="1" t="s">
        <v>16</v>
      </c>
      <c r="I52" t="s">
        <v>194</v>
      </c>
      <c r="J52" s="1">
        <v>675482181</v>
      </c>
      <c r="K52" s="1" t="s">
        <v>21</v>
      </c>
      <c r="L52" s="2">
        <v>45484</v>
      </c>
      <c r="M52" s="29">
        <v>22001</v>
      </c>
      <c r="N52" s="29">
        <f t="shared" ref="N52:N60" si="10">O52-M52</f>
        <v>4234</v>
      </c>
      <c r="O52" s="29">
        <v>26235</v>
      </c>
      <c r="P52" s="8">
        <f t="shared" si="2"/>
        <v>822940</v>
      </c>
      <c r="Q52" s="49"/>
    </row>
    <row r="53" spans="1:17" x14ac:dyDescent="0.25">
      <c r="A53" s="12">
        <f t="shared" si="0"/>
        <v>50</v>
      </c>
      <c r="B53" s="11"/>
      <c r="C53" s="11"/>
      <c r="D53" s="11"/>
      <c r="E53" s="11"/>
      <c r="F53" s="11"/>
      <c r="G53" s="11" t="s">
        <v>195</v>
      </c>
      <c r="H53" s="11" t="s">
        <v>16</v>
      </c>
      <c r="I53" s="11"/>
      <c r="J53" s="11"/>
      <c r="K53" s="11"/>
      <c r="L53" s="11"/>
      <c r="M53" s="11"/>
      <c r="N53" s="33">
        <f t="shared" si="10"/>
        <v>0</v>
      </c>
      <c r="O53" s="11"/>
      <c r="P53" s="9">
        <f t="shared" si="2"/>
        <v>822940</v>
      </c>
      <c r="Q53" s="11"/>
    </row>
    <row r="54" spans="1:17" x14ac:dyDescent="0.25">
      <c r="A54" s="12">
        <f t="shared" si="0"/>
        <v>51</v>
      </c>
      <c r="B54" s="48">
        <v>45303</v>
      </c>
      <c r="C54" s="1">
        <v>1</v>
      </c>
      <c r="D54" s="1"/>
      <c r="E54" s="1" t="s">
        <v>196</v>
      </c>
      <c r="F54" s="1" t="s">
        <v>197</v>
      </c>
      <c r="G54" s="1" t="s">
        <v>198</v>
      </c>
      <c r="H54" s="1" t="s">
        <v>16</v>
      </c>
      <c r="I54" s="1" t="s">
        <v>199</v>
      </c>
      <c r="J54" s="1">
        <v>676326335</v>
      </c>
      <c r="K54" s="1" t="s">
        <v>19</v>
      </c>
      <c r="L54" s="2">
        <v>45394</v>
      </c>
      <c r="M54" s="21">
        <v>4110</v>
      </c>
      <c r="N54" s="34">
        <f t="shared" si="10"/>
        <v>790</v>
      </c>
      <c r="O54" s="21">
        <v>4900</v>
      </c>
      <c r="P54" s="8">
        <f t="shared" si="2"/>
        <v>827840</v>
      </c>
      <c r="Q54" s="51">
        <f>O54+O55+O56+O57+O58</f>
        <v>73800</v>
      </c>
    </row>
    <row r="55" spans="1:17" x14ac:dyDescent="0.25">
      <c r="A55" s="12">
        <f t="shared" si="0"/>
        <v>52</v>
      </c>
      <c r="B55" s="56"/>
      <c r="C55" s="1">
        <v>1</v>
      </c>
      <c r="D55" s="1"/>
      <c r="E55" s="1" t="s">
        <v>200</v>
      </c>
      <c r="F55" s="1" t="s">
        <v>201</v>
      </c>
      <c r="G55" s="1" t="s">
        <v>202</v>
      </c>
      <c r="H55" s="1" t="s">
        <v>16</v>
      </c>
      <c r="I55" s="1" t="s">
        <v>203</v>
      </c>
      <c r="J55" s="1">
        <v>693914753</v>
      </c>
      <c r="K55" s="1" t="s">
        <v>17</v>
      </c>
      <c r="L55" s="2">
        <v>45669</v>
      </c>
      <c r="M55" s="28">
        <v>15011</v>
      </c>
      <c r="N55" s="28">
        <f>O55-M55</f>
        <v>2889</v>
      </c>
      <c r="O55" s="28">
        <v>17900</v>
      </c>
      <c r="P55" s="8">
        <f t="shared" si="2"/>
        <v>845740</v>
      </c>
      <c r="Q55" s="52"/>
    </row>
    <row r="56" spans="1:17" x14ac:dyDescent="0.25">
      <c r="A56" s="12">
        <f t="shared" si="0"/>
        <v>53</v>
      </c>
      <c r="B56" s="56"/>
      <c r="C56" s="1">
        <v>1</v>
      </c>
      <c r="D56" s="1"/>
      <c r="E56" s="1" t="s">
        <v>204</v>
      </c>
      <c r="F56" s="1" t="s">
        <v>205</v>
      </c>
      <c r="G56" s="1" t="s">
        <v>22</v>
      </c>
      <c r="H56" s="1" t="s">
        <v>16</v>
      </c>
      <c r="I56" s="1" t="s">
        <v>206</v>
      </c>
      <c r="J56" s="1">
        <v>674093435</v>
      </c>
      <c r="K56" s="1" t="s">
        <v>17</v>
      </c>
      <c r="L56" s="2">
        <v>45669</v>
      </c>
      <c r="M56" s="29">
        <v>14256</v>
      </c>
      <c r="N56" s="29">
        <f t="shared" ref="N56:N58" si="11">O56-M56</f>
        <v>2744</v>
      </c>
      <c r="O56" s="29">
        <v>17000</v>
      </c>
      <c r="P56" s="8">
        <f t="shared" si="2"/>
        <v>862740</v>
      </c>
      <c r="Q56" s="52"/>
    </row>
    <row r="57" spans="1:17" x14ac:dyDescent="0.25">
      <c r="A57" s="12">
        <f t="shared" si="0"/>
        <v>54</v>
      </c>
      <c r="B57" s="56"/>
      <c r="C57" s="1">
        <v>1</v>
      </c>
      <c r="D57" s="1"/>
      <c r="E57" s="1" t="s">
        <v>207</v>
      </c>
      <c r="F57" s="1" t="s">
        <v>208</v>
      </c>
      <c r="G57" s="1" t="s">
        <v>209</v>
      </c>
      <c r="H57" s="1" t="s">
        <v>16</v>
      </c>
      <c r="I57" s="1" t="s">
        <v>210</v>
      </c>
      <c r="J57" s="1">
        <v>693763336</v>
      </c>
      <c r="K57" s="1" t="s">
        <v>17</v>
      </c>
      <c r="L57" s="2">
        <v>45669</v>
      </c>
      <c r="M57" s="29">
        <v>14256</v>
      </c>
      <c r="N57" s="29">
        <f t="shared" si="11"/>
        <v>2744</v>
      </c>
      <c r="O57" s="29">
        <v>17000</v>
      </c>
      <c r="P57" s="8">
        <f t="shared" si="2"/>
        <v>879740</v>
      </c>
      <c r="Q57" s="52"/>
    </row>
    <row r="58" spans="1:17" x14ac:dyDescent="0.25">
      <c r="A58" s="12">
        <f t="shared" si="0"/>
        <v>55</v>
      </c>
      <c r="B58" s="57"/>
      <c r="C58" s="1">
        <v>1</v>
      </c>
      <c r="D58" s="1"/>
      <c r="E58" s="1" t="s">
        <v>211</v>
      </c>
      <c r="F58" s="1" t="s">
        <v>212</v>
      </c>
      <c r="G58" t="s">
        <v>213</v>
      </c>
      <c r="H58" s="1" t="s">
        <v>16</v>
      </c>
      <c r="I58" s="1" t="s">
        <v>214</v>
      </c>
      <c r="J58" s="1">
        <v>699977145</v>
      </c>
      <c r="K58" s="1" t="s">
        <v>17</v>
      </c>
      <c r="L58" s="2">
        <v>45669</v>
      </c>
      <c r="M58" s="29">
        <v>14256</v>
      </c>
      <c r="N58" s="29">
        <f t="shared" si="11"/>
        <v>2744</v>
      </c>
      <c r="O58" s="29">
        <v>17000</v>
      </c>
      <c r="P58" s="8">
        <f t="shared" si="2"/>
        <v>896740</v>
      </c>
      <c r="Q58" s="53"/>
    </row>
    <row r="59" spans="1:17" x14ac:dyDescent="0.25">
      <c r="A59" s="12">
        <f t="shared" si="0"/>
        <v>56</v>
      </c>
      <c r="B59" s="11"/>
      <c r="C59" s="11"/>
      <c r="D59" s="11"/>
      <c r="E59" s="11"/>
      <c r="F59" s="11"/>
      <c r="G59" s="11" t="s">
        <v>215</v>
      </c>
      <c r="H59" s="11" t="s">
        <v>16</v>
      </c>
      <c r="I59" s="11"/>
      <c r="J59" s="11"/>
      <c r="K59" s="11"/>
      <c r="L59" s="11"/>
      <c r="M59" s="11"/>
      <c r="N59" s="33">
        <f t="shared" si="10"/>
        <v>0</v>
      </c>
      <c r="O59" s="11"/>
      <c r="P59" s="9">
        <f t="shared" si="2"/>
        <v>896740</v>
      </c>
      <c r="Q59" s="11"/>
    </row>
    <row r="60" spans="1:17" x14ac:dyDescent="0.25">
      <c r="A60" s="12">
        <f t="shared" si="0"/>
        <v>57</v>
      </c>
      <c r="B60" s="48">
        <v>45304</v>
      </c>
      <c r="C60" s="1">
        <v>1</v>
      </c>
      <c r="D60" s="1"/>
      <c r="E60" s="1" t="s">
        <v>216</v>
      </c>
      <c r="F60" s="1" t="s">
        <v>217</v>
      </c>
      <c r="G60" s="1" t="s">
        <v>218</v>
      </c>
      <c r="H60" s="1" t="s">
        <v>16</v>
      </c>
      <c r="I60" s="1" t="s">
        <v>219</v>
      </c>
      <c r="J60" s="1">
        <v>653156927</v>
      </c>
      <c r="K60" s="1" t="s">
        <v>17</v>
      </c>
      <c r="L60" s="2">
        <v>45670</v>
      </c>
      <c r="M60" s="29">
        <v>14256</v>
      </c>
      <c r="N60" s="29">
        <f t="shared" si="10"/>
        <v>2744</v>
      </c>
      <c r="O60" s="29">
        <v>17000</v>
      </c>
      <c r="P60" s="8">
        <f t="shared" si="2"/>
        <v>913740</v>
      </c>
      <c r="Q60" s="51">
        <f>O60+O61+O62+O63+O64+O65+O66</f>
        <v>156840</v>
      </c>
    </row>
    <row r="61" spans="1:17" x14ac:dyDescent="0.25">
      <c r="A61" s="12">
        <f t="shared" si="0"/>
        <v>58</v>
      </c>
      <c r="B61" s="49"/>
      <c r="C61" s="1">
        <v>1</v>
      </c>
      <c r="D61" s="1"/>
      <c r="E61" s="1" t="s">
        <v>220</v>
      </c>
      <c r="F61" s="1" t="s">
        <v>221</v>
      </c>
      <c r="G61" s="1" t="s">
        <v>222</v>
      </c>
      <c r="H61" s="1" t="s">
        <v>16</v>
      </c>
      <c r="I61" s="1" t="s">
        <v>223</v>
      </c>
      <c r="J61" s="1">
        <v>670739342</v>
      </c>
      <c r="K61" s="1" t="s">
        <v>17</v>
      </c>
      <c r="L61" s="2">
        <v>45670</v>
      </c>
      <c r="M61" s="28">
        <v>15011</v>
      </c>
      <c r="N61" s="28">
        <f>O61-M61</f>
        <v>2889</v>
      </c>
      <c r="O61" s="28">
        <v>17900</v>
      </c>
      <c r="P61" s="8">
        <f t="shared" si="2"/>
        <v>931640</v>
      </c>
      <c r="Q61" s="49"/>
    </row>
    <row r="62" spans="1:17" x14ac:dyDescent="0.25">
      <c r="A62" s="12">
        <f t="shared" si="0"/>
        <v>59</v>
      </c>
      <c r="B62" s="49"/>
      <c r="C62" s="1">
        <v>1</v>
      </c>
      <c r="D62" s="1"/>
      <c r="E62" s="1" t="s">
        <v>224</v>
      </c>
      <c r="F62" s="1" t="s">
        <v>225</v>
      </c>
      <c r="G62" s="1" t="s">
        <v>226</v>
      </c>
      <c r="H62" s="1" t="s">
        <v>16</v>
      </c>
      <c r="I62" s="1" t="s">
        <v>227</v>
      </c>
      <c r="J62" s="1">
        <v>699655090</v>
      </c>
      <c r="K62" s="1" t="s">
        <v>17</v>
      </c>
      <c r="L62" s="2">
        <v>45670</v>
      </c>
      <c r="M62" s="29">
        <v>14256</v>
      </c>
      <c r="N62" s="29">
        <f t="shared" ref="N62:N66" si="12">O62-M62</f>
        <v>2744</v>
      </c>
      <c r="O62" s="29">
        <v>17000</v>
      </c>
      <c r="P62" s="8">
        <f t="shared" si="2"/>
        <v>948640</v>
      </c>
      <c r="Q62" s="49"/>
    </row>
    <row r="63" spans="1:17" x14ac:dyDescent="0.25">
      <c r="A63" s="12">
        <f t="shared" si="0"/>
        <v>60</v>
      </c>
      <c r="B63" s="49"/>
      <c r="C63" s="1">
        <v>1</v>
      </c>
      <c r="D63" s="1"/>
      <c r="E63" s="1" t="s">
        <v>228</v>
      </c>
      <c r="F63" s="1" t="s">
        <v>229</v>
      </c>
      <c r="G63" s="1" t="s">
        <v>230</v>
      </c>
      <c r="H63" s="1" t="s">
        <v>16</v>
      </c>
      <c r="I63" s="1" t="s">
        <v>231</v>
      </c>
      <c r="J63" s="1">
        <v>677405712</v>
      </c>
      <c r="K63" s="1" t="s">
        <v>21</v>
      </c>
      <c r="L63" s="2">
        <v>45486</v>
      </c>
      <c r="M63" s="29">
        <v>22001</v>
      </c>
      <c r="N63" s="29">
        <f t="shared" si="12"/>
        <v>4234</v>
      </c>
      <c r="O63" s="29">
        <v>26235</v>
      </c>
      <c r="P63" s="8">
        <f t="shared" si="2"/>
        <v>974875</v>
      </c>
      <c r="Q63" s="49"/>
    </row>
    <row r="64" spans="1:17" x14ac:dyDescent="0.25">
      <c r="A64" s="12">
        <f t="shared" si="0"/>
        <v>61</v>
      </c>
      <c r="B64" s="49"/>
      <c r="C64" s="1">
        <v>1</v>
      </c>
      <c r="D64" s="1"/>
      <c r="E64" s="1" t="s">
        <v>232</v>
      </c>
      <c r="F64" s="1" t="s">
        <v>233</v>
      </c>
      <c r="G64" t="s">
        <v>234</v>
      </c>
      <c r="H64" s="1" t="s">
        <v>16</v>
      </c>
      <c r="I64" t="s">
        <v>235</v>
      </c>
      <c r="J64" s="1">
        <v>677405712</v>
      </c>
      <c r="K64" s="1" t="s">
        <v>21</v>
      </c>
      <c r="L64" s="2">
        <v>45486</v>
      </c>
      <c r="M64" s="29">
        <v>22001</v>
      </c>
      <c r="N64" s="29">
        <f t="shared" si="12"/>
        <v>4234</v>
      </c>
      <c r="O64" s="29">
        <v>26235</v>
      </c>
      <c r="P64" s="8">
        <f t="shared" si="2"/>
        <v>1001110</v>
      </c>
      <c r="Q64" s="49"/>
    </row>
    <row r="65" spans="1:17" x14ac:dyDescent="0.25">
      <c r="A65" s="12">
        <f t="shared" si="0"/>
        <v>62</v>
      </c>
      <c r="B65" s="49"/>
      <c r="C65" s="1">
        <v>1</v>
      </c>
      <c r="D65" s="1"/>
      <c r="E65" s="1" t="s">
        <v>236</v>
      </c>
      <c r="F65" s="1" t="s">
        <v>237</v>
      </c>
      <c r="G65" t="s">
        <v>238</v>
      </c>
      <c r="H65" s="1" t="s">
        <v>16</v>
      </c>
      <c r="I65" t="s">
        <v>239</v>
      </c>
      <c r="J65" s="1">
        <v>674207057</v>
      </c>
      <c r="K65" s="1" t="s">
        <v>21</v>
      </c>
      <c r="L65" s="2">
        <v>45486</v>
      </c>
      <c r="M65" s="29">
        <v>22001</v>
      </c>
      <c r="N65" s="29">
        <f t="shared" si="12"/>
        <v>4234</v>
      </c>
      <c r="O65" s="29">
        <v>26235</v>
      </c>
      <c r="P65" s="8">
        <f t="shared" si="2"/>
        <v>1027345</v>
      </c>
      <c r="Q65" s="49"/>
    </row>
    <row r="66" spans="1:17" x14ac:dyDescent="0.25">
      <c r="A66" s="12">
        <f t="shared" si="0"/>
        <v>63</v>
      </c>
      <c r="B66" s="50"/>
      <c r="C66" s="1">
        <v>1</v>
      </c>
      <c r="D66" s="1"/>
      <c r="E66" s="1" t="s">
        <v>240</v>
      </c>
      <c r="F66" s="1" t="s">
        <v>241</v>
      </c>
      <c r="G66" t="s">
        <v>242</v>
      </c>
      <c r="H66" s="1" t="s">
        <v>16</v>
      </c>
      <c r="I66" t="s">
        <v>243</v>
      </c>
      <c r="J66" s="1">
        <v>695881210</v>
      </c>
      <c r="K66" s="1" t="s">
        <v>21</v>
      </c>
      <c r="L66" s="2">
        <v>45486</v>
      </c>
      <c r="M66" s="29">
        <v>22001</v>
      </c>
      <c r="N66" s="29">
        <f t="shared" si="12"/>
        <v>4234</v>
      </c>
      <c r="O66" s="29">
        <v>26235</v>
      </c>
      <c r="P66" s="8">
        <f t="shared" si="2"/>
        <v>1053580</v>
      </c>
      <c r="Q66" s="50"/>
    </row>
    <row r="67" spans="1:17" x14ac:dyDescent="0.25">
      <c r="A67" s="12">
        <f t="shared" si="0"/>
        <v>64</v>
      </c>
      <c r="B67" s="11"/>
      <c r="C67" s="11"/>
      <c r="D67" s="11"/>
      <c r="E67" s="11"/>
      <c r="F67" s="11"/>
      <c r="G67" s="11" t="s">
        <v>244</v>
      </c>
      <c r="H67" s="11" t="s">
        <v>16</v>
      </c>
      <c r="I67" s="11"/>
      <c r="J67" s="11"/>
      <c r="K67" s="11"/>
      <c r="L67" s="11"/>
      <c r="M67" s="11"/>
      <c r="N67" s="11"/>
      <c r="O67" s="11"/>
      <c r="P67" s="9">
        <f t="shared" si="2"/>
        <v>1053580</v>
      </c>
      <c r="Q67" s="11"/>
    </row>
    <row r="68" spans="1:17" x14ac:dyDescent="0.25">
      <c r="A68" s="12">
        <f t="shared" ref="A68:A131" si="13">A67+1</f>
        <v>65</v>
      </c>
      <c r="B68" s="48">
        <v>45306</v>
      </c>
      <c r="C68" s="1">
        <v>1</v>
      </c>
      <c r="D68" s="1"/>
      <c r="E68" s="1" t="s">
        <v>245</v>
      </c>
      <c r="F68" s="1" t="s">
        <v>246</v>
      </c>
      <c r="G68" t="s">
        <v>247</v>
      </c>
      <c r="H68" s="1" t="s">
        <v>16</v>
      </c>
      <c r="I68" t="s">
        <v>248</v>
      </c>
      <c r="J68" s="1">
        <v>678215459</v>
      </c>
      <c r="K68" s="1" t="s">
        <v>21</v>
      </c>
      <c r="L68" s="2">
        <v>45488</v>
      </c>
      <c r="M68" s="29">
        <v>22001</v>
      </c>
      <c r="N68" s="29">
        <f t="shared" ref="N68:N69" si="14">O68-M68</f>
        <v>4234</v>
      </c>
      <c r="O68" s="29">
        <v>26235</v>
      </c>
      <c r="P68" s="8">
        <f t="shared" si="2"/>
        <v>1079815</v>
      </c>
      <c r="Q68" s="51">
        <f>O68+O69+O70+O71+O72+O73</f>
        <v>97235</v>
      </c>
    </row>
    <row r="69" spans="1:17" x14ac:dyDescent="0.25">
      <c r="A69" s="12">
        <f t="shared" si="13"/>
        <v>66</v>
      </c>
      <c r="B69" s="49"/>
      <c r="C69" s="1">
        <v>1</v>
      </c>
      <c r="D69" s="1"/>
      <c r="E69" s="1" t="s">
        <v>249</v>
      </c>
      <c r="F69" s="1" t="s">
        <v>250</v>
      </c>
      <c r="G69" s="1" t="s">
        <v>251</v>
      </c>
      <c r="H69" s="1" t="s">
        <v>16</v>
      </c>
      <c r="I69" s="1" t="s">
        <v>252</v>
      </c>
      <c r="J69" s="1">
        <v>695462036</v>
      </c>
      <c r="K69" s="1" t="s">
        <v>17</v>
      </c>
      <c r="L69" s="2">
        <v>45672</v>
      </c>
      <c r="M69" s="29">
        <v>14256</v>
      </c>
      <c r="N69" s="29">
        <f t="shared" si="14"/>
        <v>2744</v>
      </c>
      <c r="O69" s="29">
        <v>17000</v>
      </c>
      <c r="P69" s="8">
        <f t="shared" ref="P69:P132" si="15">P68+O69</f>
        <v>1096815</v>
      </c>
      <c r="Q69" s="49"/>
    </row>
    <row r="70" spans="1:17" x14ac:dyDescent="0.25">
      <c r="A70" s="12">
        <f t="shared" si="13"/>
        <v>67</v>
      </c>
      <c r="B70" s="49"/>
      <c r="C70" s="1">
        <v>1</v>
      </c>
      <c r="D70" s="1"/>
      <c r="E70" s="1" t="s">
        <v>253</v>
      </c>
      <c r="F70" s="1" t="s">
        <v>254</v>
      </c>
      <c r="G70" s="1" t="s">
        <v>255</v>
      </c>
      <c r="H70" s="1" t="s">
        <v>16</v>
      </c>
      <c r="I70" s="1" t="s">
        <v>256</v>
      </c>
      <c r="J70" s="1">
        <v>677066447</v>
      </c>
      <c r="K70" s="1" t="s">
        <v>19</v>
      </c>
      <c r="L70" s="2">
        <v>45397</v>
      </c>
      <c r="M70" s="8">
        <v>3774</v>
      </c>
      <c r="N70" s="8">
        <f>O70-M70</f>
        <v>726</v>
      </c>
      <c r="O70" s="8">
        <v>4500</v>
      </c>
      <c r="P70" s="8">
        <f t="shared" si="15"/>
        <v>1101315</v>
      </c>
      <c r="Q70" s="49"/>
    </row>
    <row r="71" spans="1:17" x14ac:dyDescent="0.25">
      <c r="A71" s="12">
        <f t="shared" si="13"/>
        <v>68</v>
      </c>
      <c r="B71" s="49"/>
      <c r="C71" s="1">
        <v>1</v>
      </c>
      <c r="D71" s="1"/>
      <c r="E71" s="1" t="s">
        <v>257</v>
      </c>
      <c r="F71" s="1" t="s">
        <v>258</v>
      </c>
      <c r="G71" s="1" t="s">
        <v>259</v>
      </c>
      <c r="H71" s="1" t="s">
        <v>16</v>
      </c>
      <c r="I71" s="1" t="s">
        <v>260</v>
      </c>
      <c r="J71" s="1">
        <v>699977145</v>
      </c>
      <c r="K71" s="1" t="s">
        <v>17</v>
      </c>
      <c r="L71" s="2">
        <v>45672</v>
      </c>
      <c r="M71" s="29">
        <v>14256</v>
      </c>
      <c r="N71" s="29">
        <f t="shared" ref="N71:N72" si="16">O71-M71</f>
        <v>2744</v>
      </c>
      <c r="O71" s="29">
        <v>17000</v>
      </c>
      <c r="P71" s="8">
        <f t="shared" si="15"/>
        <v>1118315</v>
      </c>
      <c r="Q71" s="49"/>
    </row>
    <row r="72" spans="1:17" x14ac:dyDescent="0.25">
      <c r="A72" s="12">
        <f t="shared" si="13"/>
        <v>69</v>
      </c>
      <c r="B72" s="49"/>
      <c r="C72" s="1">
        <v>1</v>
      </c>
      <c r="D72" s="1"/>
      <c r="E72" s="1" t="s">
        <v>261</v>
      </c>
      <c r="F72" s="1" t="s">
        <v>262</v>
      </c>
      <c r="G72" s="1" t="s">
        <v>263</v>
      </c>
      <c r="H72" s="1" t="s">
        <v>16</v>
      </c>
      <c r="I72" s="1" t="s">
        <v>264</v>
      </c>
      <c r="J72" s="1">
        <v>699275585</v>
      </c>
      <c r="K72" s="1" t="s">
        <v>17</v>
      </c>
      <c r="L72" s="2">
        <v>45672</v>
      </c>
      <c r="M72" s="29">
        <v>14256</v>
      </c>
      <c r="N72" s="29">
        <f t="shared" si="16"/>
        <v>2744</v>
      </c>
      <c r="O72" s="29">
        <v>17000</v>
      </c>
      <c r="P72" s="8">
        <f t="shared" si="15"/>
        <v>1135315</v>
      </c>
      <c r="Q72" s="49"/>
    </row>
    <row r="73" spans="1:17" x14ac:dyDescent="0.25">
      <c r="A73" s="12">
        <f t="shared" si="13"/>
        <v>70</v>
      </c>
      <c r="B73" s="50"/>
      <c r="C73" s="1">
        <v>1</v>
      </c>
      <c r="D73" s="1"/>
      <c r="E73" s="1" t="s">
        <v>265</v>
      </c>
      <c r="F73" s="1" t="s">
        <v>266</v>
      </c>
      <c r="G73" s="1" t="s">
        <v>267</v>
      </c>
      <c r="H73" s="1" t="s">
        <v>16</v>
      </c>
      <c r="I73" s="1" t="s">
        <v>268</v>
      </c>
      <c r="J73" s="1">
        <v>657414184</v>
      </c>
      <c r="K73" s="1" t="s">
        <v>16</v>
      </c>
      <c r="L73" s="2">
        <v>45397</v>
      </c>
      <c r="M73" s="28">
        <v>12998</v>
      </c>
      <c r="N73" s="28">
        <f>O73-M73</f>
        <v>2502</v>
      </c>
      <c r="O73" s="28">
        <v>15500</v>
      </c>
      <c r="P73" s="8">
        <f t="shared" si="15"/>
        <v>1150815</v>
      </c>
      <c r="Q73" s="50"/>
    </row>
    <row r="74" spans="1:17" x14ac:dyDescent="0.25">
      <c r="A74" s="12">
        <f t="shared" si="13"/>
        <v>71</v>
      </c>
      <c r="B74" s="11"/>
      <c r="C74" s="11"/>
      <c r="D74" s="11"/>
      <c r="E74" s="11"/>
      <c r="F74" s="11"/>
      <c r="G74" s="11" t="s">
        <v>269</v>
      </c>
      <c r="H74" s="11" t="s">
        <v>16</v>
      </c>
      <c r="I74" s="11"/>
      <c r="J74" s="11"/>
      <c r="K74" s="11"/>
      <c r="L74" s="11"/>
      <c r="M74" s="11"/>
      <c r="N74" s="11"/>
      <c r="O74" s="11"/>
      <c r="P74" s="9">
        <f t="shared" si="15"/>
        <v>1150815</v>
      </c>
      <c r="Q74" s="11"/>
    </row>
    <row r="75" spans="1:17" x14ac:dyDescent="0.25">
      <c r="A75" s="12">
        <f t="shared" si="13"/>
        <v>72</v>
      </c>
      <c r="B75" s="48">
        <v>45307</v>
      </c>
      <c r="C75" s="1">
        <v>1</v>
      </c>
      <c r="D75" s="1"/>
      <c r="E75" s="1" t="s">
        <v>270</v>
      </c>
      <c r="F75" s="1" t="s">
        <v>271</v>
      </c>
      <c r="G75" s="1" t="s">
        <v>272</v>
      </c>
      <c r="H75" s="1" t="s">
        <v>16</v>
      </c>
      <c r="I75" s="1" t="s">
        <v>273</v>
      </c>
      <c r="J75" s="1">
        <v>677858222</v>
      </c>
      <c r="K75" s="1" t="s">
        <v>17</v>
      </c>
      <c r="L75" s="2">
        <v>45673</v>
      </c>
      <c r="M75" s="29">
        <v>14256</v>
      </c>
      <c r="N75" s="29">
        <f t="shared" ref="N75:N80" si="17">O75-M75</f>
        <v>2744</v>
      </c>
      <c r="O75" s="29">
        <v>17000</v>
      </c>
      <c r="P75" s="8">
        <f t="shared" si="15"/>
        <v>1167815</v>
      </c>
      <c r="Q75" s="51">
        <f>O75+O76+O77+O78+O79+O80</f>
        <v>128470</v>
      </c>
    </row>
    <row r="76" spans="1:17" x14ac:dyDescent="0.25">
      <c r="A76" s="12">
        <f t="shared" si="13"/>
        <v>73</v>
      </c>
      <c r="B76" s="49"/>
      <c r="C76" s="1">
        <v>1</v>
      </c>
      <c r="D76" s="1"/>
      <c r="E76" s="1" t="s">
        <v>274</v>
      </c>
      <c r="F76" s="1" t="s">
        <v>275</v>
      </c>
      <c r="G76" s="1" t="s">
        <v>276</v>
      </c>
      <c r="H76" s="1" t="s">
        <v>16</v>
      </c>
      <c r="I76" s="1" t="s">
        <v>277</v>
      </c>
      <c r="J76" s="1">
        <v>674766676</v>
      </c>
      <c r="K76" s="1" t="s">
        <v>17</v>
      </c>
      <c r="L76" s="2">
        <v>45673</v>
      </c>
      <c r="M76" s="29">
        <v>14256</v>
      </c>
      <c r="N76" s="29">
        <f t="shared" si="17"/>
        <v>2744</v>
      </c>
      <c r="O76" s="29">
        <v>17000</v>
      </c>
      <c r="P76" s="8">
        <f t="shared" si="15"/>
        <v>1184815</v>
      </c>
      <c r="Q76" s="49"/>
    </row>
    <row r="77" spans="1:17" x14ac:dyDescent="0.25">
      <c r="A77" s="12">
        <f t="shared" si="13"/>
        <v>74</v>
      </c>
      <c r="B77" s="49"/>
      <c r="C77" s="1">
        <v>1</v>
      </c>
      <c r="D77" s="1"/>
      <c r="E77" s="1" t="s">
        <v>278</v>
      </c>
      <c r="F77" s="1" t="s">
        <v>279</v>
      </c>
      <c r="G77" s="1" t="s">
        <v>280</v>
      </c>
      <c r="H77" s="1" t="s">
        <v>16</v>
      </c>
      <c r="I77" s="1" t="s">
        <v>281</v>
      </c>
      <c r="J77" s="1">
        <v>653430283</v>
      </c>
      <c r="K77" s="1" t="s">
        <v>21</v>
      </c>
      <c r="L77" s="2">
        <v>45489</v>
      </c>
      <c r="M77" s="30">
        <v>20965</v>
      </c>
      <c r="N77" s="30">
        <f t="shared" si="17"/>
        <v>4035</v>
      </c>
      <c r="O77" s="30">
        <v>25000</v>
      </c>
      <c r="P77" s="8">
        <f t="shared" si="15"/>
        <v>1209815</v>
      </c>
      <c r="Q77" s="49"/>
    </row>
    <row r="78" spans="1:17" x14ac:dyDescent="0.25">
      <c r="A78" s="12">
        <f t="shared" si="13"/>
        <v>75</v>
      </c>
      <c r="B78" s="49"/>
      <c r="C78" s="1">
        <v>1</v>
      </c>
      <c r="D78" s="1"/>
      <c r="E78" s="1" t="s">
        <v>282</v>
      </c>
      <c r="F78" s="1" t="s">
        <v>283</v>
      </c>
      <c r="G78" s="1" t="s">
        <v>284</v>
      </c>
      <c r="H78" s="1" t="s">
        <v>16</v>
      </c>
      <c r="I78" s="1" t="s">
        <v>285</v>
      </c>
      <c r="J78" s="1">
        <v>675068133</v>
      </c>
      <c r="K78" s="1" t="s">
        <v>17</v>
      </c>
      <c r="L78" s="2">
        <v>45673</v>
      </c>
      <c r="M78" s="29">
        <v>14256</v>
      </c>
      <c r="N78" s="29">
        <f t="shared" si="17"/>
        <v>2744</v>
      </c>
      <c r="O78" s="29">
        <v>17000</v>
      </c>
      <c r="P78" s="8">
        <f t="shared" si="15"/>
        <v>1226815</v>
      </c>
      <c r="Q78" s="49"/>
    </row>
    <row r="79" spans="1:17" x14ac:dyDescent="0.25">
      <c r="A79" s="12">
        <f t="shared" si="13"/>
        <v>76</v>
      </c>
      <c r="B79" s="49"/>
      <c r="C79" s="1">
        <v>1</v>
      </c>
      <c r="D79" s="1"/>
      <c r="E79" s="1" t="s">
        <v>286</v>
      </c>
      <c r="F79" s="1" t="s">
        <v>287</v>
      </c>
      <c r="G79" s="1" t="s">
        <v>288</v>
      </c>
      <c r="H79" s="1" t="s">
        <v>16</v>
      </c>
      <c r="I79" s="1" t="s">
        <v>289</v>
      </c>
      <c r="J79" s="1">
        <v>694329077</v>
      </c>
      <c r="K79" s="1" t="s">
        <v>21</v>
      </c>
      <c r="L79" s="2">
        <v>45489</v>
      </c>
      <c r="M79" s="29">
        <v>22001</v>
      </c>
      <c r="N79" s="29">
        <f t="shared" si="17"/>
        <v>4234</v>
      </c>
      <c r="O79" s="29">
        <v>26235</v>
      </c>
      <c r="P79" s="8">
        <f t="shared" si="15"/>
        <v>1253050</v>
      </c>
      <c r="Q79" s="49"/>
    </row>
    <row r="80" spans="1:17" x14ac:dyDescent="0.25">
      <c r="A80" s="12">
        <f t="shared" si="13"/>
        <v>77</v>
      </c>
      <c r="B80" s="50"/>
      <c r="C80" s="1">
        <v>1</v>
      </c>
      <c r="D80" s="1"/>
      <c r="E80" s="1" t="s">
        <v>290</v>
      </c>
      <c r="F80" s="1" t="s">
        <v>291</v>
      </c>
      <c r="G80" t="s">
        <v>292</v>
      </c>
      <c r="H80" s="1" t="s">
        <v>16</v>
      </c>
      <c r="I80" t="s">
        <v>293</v>
      </c>
      <c r="J80" s="1">
        <v>697348371</v>
      </c>
      <c r="K80" s="1" t="s">
        <v>21</v>
      </c>
      <c r="L80" s="2">
        <v>45489</v>
      </c>
      <c r="M80" s="29">
        <v>22001</v>
      </c>
      <c r="N80" s="29">
        <f t="shared" si="17"/>
        <v>4234</v>
      </c>
      <c r="O80" s="29">
        <v>26235</v>
      </c>
      <c r="P80" s="8">
        <f t="shared" si="15"/>
        <v>1279285</v>
      </c>
      <c r="Q80" s="50"/>
    </row>
    <row r="81" spans="1:17" x14ac:dyDescent="0.25">
      <c r="A81" s="12">
        <f t="shared" si="13"/>
        <v>78</v>
      </c>
      <c r="B81" s="11"/>
      <c r="C81" s="11"/>
      <c r="D81" s="11"/>
      <c r="E81" s="11"/>
      <c r="F81" s="11"/>
      <c r="G81" s="11" t="s">
        <v>294</v>
      </c>
      <c r="H81" s="11" t="s">
        <v>16</v>
      </c>
      <c r="I81" s="11"/>
      <c r="J81" s="11"/>
      <c r="K81" s="11"/>
      <c r="L81" s="11"/>
      <c r="M81" s="11"/>
      <c r="N81" s="11"/>
      <c r="O81" s="11"/>
      <c r="P81" s="9">
        <f t="shared" si="15"/>
        <v>1279285</v>
      </c>
      <c r="Q81" s="11"/>
    </row>
    <row r="82" spans="1:17" x14ac:dyDescent="0.25">
      <c r="A82" s="12">
        <f t="shared" si="13"/>
        <v>79</v>
      </c>
      <c r="B82" s="48">
        <v>45308</v>
      </c>
      <c r="C82" s="1">
        <v>1</v>
      </c>
      <c r="D82" s="1"/>
      <c r="E82" s="1" t="s">
        <v>295</v>
      </c>
      <c r="F82" s="1" t="s">
        <v>296</v>
      </c>
      <c r="G82" t="s">
        <v>292</v>
      </c>
      <c r="H82" s="1" t="s">
        <v>16</v>
      </c>
      <c r="I82" t="s">
        <v>297</v>
      </c>
      <c r="J82" s="1">
        <v>697348371</v>
      </c>
      <c r="K82" s="1" t="s">
        <v>21</v>
      </c>
      <c r="L82" s="2">
        <v>45489</v>
      </c>
      <c r="M82" s="29">
        <v>22001</v>
      </c>
      <c r="N82" s="29">
        <f t="shared" ref="N82:N86" si="18">O82-M82</f>
        <v>4234</v>
      </c>
      <c r="O82" s="29">
        <v>26235</v>
      </c>
      <c r="P82" s="8">
        <f t="shared" si="15"/>
        <v>1305520</v>
      </c>
      <c r="Q82" s="51">
        <f>O82+O83+O84+O85+O86</f>
        <v>111470</v>
      </c>
    </row>
    <row r="83" spans="1:17" x14ac:dyDescent="0.25">
      <c r="A83" s="12">
        <f t="shared" si="13"/>
        <v>80</v>
      </c>
      <c r="B83" s="49"/>
      <c r="C83" s="1">
        <v>1</v>
      </c>
      <c r="D83" s="1"/>
      <c r="E83" s="1" t="s">
        <v>298</v>
      </c>
      <c r="F83" s="1" t="s">
        <v>299</v>
      </c>
      <c r="G83" s="1" t="s">
        <v>300</v>
      </c>
      <c r="H83" s="1" t="s">
        <v>16</v>
      </c>
      <c r="I83" s="1" t="s">
        <v>301</v>
      </c>
      <c r="J83" s="1">
        <v>674453838</v>
      </c>
      <c r="K83" s="1" t="s">
        <v>17</v>
      </c>
      <c r="L83" s="2">
        <v>45674</v>
      </c>
      <c r="M83" s="29">
        <v>14256</v>
      </c>
      <c r="N83" s="29">
        <f t="shared" si="18"/>
        <v>2744</v>
      </c>
      <c r="O83" s="29">
        <v>17000</v>
      </c>
      <c r="P83" s="8">
        <f t="shared" si="15"/>
        <v>1322520</v>
      </c>
      <c r="Q83" s="49"/>
    </row>
    <row r="84" spans="1:17" x14ac:dyDescent="0.25">
      <c r="A84" s="12">
        <f t="shared" si="13"/>
        <v>81</v>
      </c>
      <c r="B84" s="49"/>
      <c r="C84" s="1">
        <v>1</v>
      </c>
      <c r="D84" s="1"/>
      <c r="E84" s="1" t="s">
        <v>302</v>
      </c>
      <c r="F84" s="1" t="s">
        <v>303</v>
      </c>
      <c r="G84" s="1" t="s">
        <v>304</v>
      </c>
      <c r="H84" s="1" t="s">
        <v>16</v>
      </c>
      <c r="I84" s="1" t="s">
        <v>305</v>
      </c>
      <c r="J84" s="2"/>
      <c r="K84" s="1" t="s">
        <v>17</v>
      </c>
      <c r="L84" s="2">
        <v>45674</v>
      </c>
      <c r="M84" s="29">
        <v>14256</v>
      </c>
      <c r="N84" s="29">
        <f t="shared" si="18"/>
        <v>2744</v>
      </c>
      <c r="O84" s="29">
        <v>17000</v>
      </c>
      <c r="P84" s="8">
        <f t="shared" si="15"/>
        <v>1339520</v>
      </c>
      <c r="Q84" s="49"/>
    </row>
    <row r="85" spans="1:17" x14ac:dyDescent="0.25">
      <c r="A85" s="12">
        <f t="shared" si="13"/>
        <v>82</v>
      </c>
      <c r="B85" s="49"/>
      <c r="C85" s="1">
        <v>1</v>
      </c>
      <c r="D85" s="1"/>
      <c r="E85" s="1" t="s">
        <v>306</v>
      </c>
      <c r="F85" s="1" t="s">
        <v>307</v>
      </c>
      <c r="G85" s="1" t="s">
        <v>140</v>
      </c>
      <c r="H85" s="1" t="s">
        <v>16</v>
      </c>
      <c r="I85" s="1" t="s">
        <v>308</v>
      </c>
      <c r="J85" s="1">
        <v>670747917</v>
      </c>
      <c r="K85" s="1" t="s">
        <v>21</v>
      </c>
      <c r="L85" s="2">
        <v>45489</v>
      </c>
      <c r="M85" s="29">
        <v>22001</v>
      </c>
      <c r="N85" s="29">
        <f t="shared" si="18"/>
        <v>4234</v>
      </c>
      <c r="O85" s="29">
        <v>26235</v>
      </c>
      <c r="P85" s="8">
        <f t="shared" si="15"/>
        <v>1365755</v>
      </c>
      <c r="Q85" s="49"/>
    </row>
    <row r="86" spans="1:17" x14ac:dyDescent="0.25">
      <c r="A86" s="12">
        <f t="shared" si="13"/>
        <v>83</v>
      </c>
      <c r="B86" s="50"/>
      <c r="C86" s="1">
        <v>1</v>
      </c>
      <c r="D86" s="1"/>
      <c r="E86" s="1" t="s">
        <v>309</v>
      </c>
      <c r="F86" s="1" t="s">
        <v>310</v>
      </c>
      <c r="G86" s="1" t="s">
        <v>311</v>
      </c>
      <c r="H86" s="1" t="s">
        <v>16</v>
      </c>
      <c r="I86" s="1" t="s">
        <v>312</v>
      </c>
      <c r="J86" s="1">
        <v>670747917</v>
      </c>
      <c r="K86" s="1" t="s">
        <v>21</v>
      </c>
      <c r="L86" s="2">
        <v>45489</v>
      </c>
      <c r="M86" s="30">
        <v>20965</v>
      </c>
      <c r="N86" s="30">
        <f t="shared" si="18"/>
        <v>4035</v>
      </c>
      <c r="O86" s="30">
        <v>25000</v>
      </c>
      <c r="P86" s="8">
        <f t="shared" si="15"/>
        <v>1390755</v>
      </c>
      <c r="Q86" s="50"/>
    </row>
    <row r="87" spans="1:17" x14ac:dyDescent="0.25">
      <c r="A87" s="12">
        <f t="shared" si="13"/>
        <v>84</v>
      </c>
      <c r="B87" s="11"/>
      <c r="C87" s="11"/>
      <c r="D87" s="11"/>
      <c r="E87" s="11"/>
      <c r="F87" s="11"/>
      <c r="G87" s="11" t="s">
        <v>313</v>
      </c>
      <c r="H87" s="11" t="s">
        <v>16</v>
      </c>
      <c r="I87" s="11"/>
      <c r="J87" s="11"/>
      <c r="K87" s="11"/>
      <c r="L87" s="11"/>
      <c r="M87" s="11"/>
      <c r="N87" s="11"/>
      <c r="O87" s="11"/>
      <c r="P87" s="9">
        <f t="shared" si="15"/>
        <v>1390755</v>
      </c>
      <c r="Q87" s="11"/>
    </row>
    <row r="88" spans="1:17" x14ac:dyDescent="0.25">
      <c r="A88" s="12">
        <f t="shared" si="13"/>
        <v>85</v>
      </c>
      <c r="B88" s="48">
        <v>45309</v>
      </c>
      <c r="C88" s="1">
        <v>1</v>
      </c>
      <c r="D88" s="1"/>
      <c r="E88" s="1" t="s">
        <v>314</v>
      </c>
      <c r="F88" s="1" t="s">
        <v>315</v>
      </c>
      <c r="G88" s="1" t="s">
        <v>316</v>
      </c>
      <c r="H88" s="1" t="s">
        <v>16</v>
      </c>
      <c r="I88" s="1" t="s">
        <v>317</v>
      </c>
      <c r="J88" s="1">
        <v>699110171</v>
      </c>
      <c r="K88" s="1" t="s">
        <v>17</v>
      </c>
      <c r="L88" s="2">
        <v>45675</v>
      </c>
      <c r="M88" s="28">
        <v>15011</v>
      </c>
      <c r="N88" s="28">
        <f>O88-M88</f>
        <v>2889</v>
      </c>
      <c r="O88" s="28">
        <v>17900</v>
      </c>
      <c r="P88" s="8">
        <f t="shared" si="15"/>
        <v>1408655</v>
      </c>
      <c r="Q88" s="51">
        <f>O88+O89+O90+O91+O92+O93</f>
        <v>121600</v>
      </c>
    </row>
    <row r="89" spans="1:17" x14ac:dyDescent="0.25">
      <c r="A89" s="12">
        <f t="shared" si="13"/>
        <v>86</v>
      </c>
      <c r="B89" s="49"/>
      <c r="C89" s="1">
        <v>1</v>
      </c>
      <c r="D89" s="1"/>
      <c r="E89" s="1" t="s">
        <v>318</v>
      </c>
      <c r="F89" s="1" t="s">
        <v>319</v>
      </c>
      <c r="G89" s="1" t="s">
        <v>320</v>
      </c>
      <c r="H89" s="1" t="s">
        <v>16</v>
      </c>
      <c r="I89" s="1" t="s">
        <v>321</v>
      </c>
      <c r="J89" s="1">
        <v>677955347</v>
      </c>
      <c r="K89" s="1" t="s">
        <v>17</v>
      </c>
      <c r="L89" s="2">
        <v>45675</v>
      </c>
      <c r="M89" s="28">
        <v>15011</v>
      </c>
      <c r="N89" s="28">
        <f>O89-M89</f>
        <v>2889</v>
      </c>
      <c r="O89" s="28">
        <v>17900</v>
      </c>
      <c r="P89" s="8">
        <f t="shared" si="15"/>
        <v>1426555</v>
      </c>
      <c r="Q89" s="49"/>
    </row>
    <row r="90" spans="1:17" x14ac:dyDescent="0.25">
      <c r="A90" s="12">
        <f t="shared" si="13"/>
        <v>87</v>
      </c>
      <c r="B90" s="49"/>
      <c r="C90" s="1">
        <v>1</v>
      </c>
      <c r="D90" s="1"/>
      <c r="E90" s="1" t="s">
        <v>322</v>
      </c>
      <c r="F90" s="1" t="s">
        <v>323</v>
      </c>
      <c r="G90" s="1" t="s">
        <v>324</v>
      </c>
      <c r="H90" s="1" t="s">
        <v>16</v>
      </c>
      <c r="I90" s="1" t="s">
        <v>325</v>
      </c>
      <c r="J90" s="1">
        <v>694102324</v>
      </c>
      <c r="K90" s="1" t="s">
        <v>21</v>
      </c>
      <c r="L90" s="2">
        <v>45491</v>
      </c>
      <c r="M90" s="30">
        <v>20965</v>
      </c>
      <c r="N90" s="30">
        <f t="shared" ref="N90" si="19">O90-M90</f>
        <v>4035</v>
      </c>
      <c r="O90" s="30">
        <v>25000</v>
      </c>
      <c r="P90" s="8">
        <f t="shared" si="15"/>
        <v>1451555</v>
      </c>
      <c r="Q90" s="49"/>
    </row>
    <row r="91" spans="1:17" x14ac:dyDescent="0.25">
      <c r="A91" s="12">
        <f t="shared" si="13"/>
        <v>88</v>
      </c>
      <c r="B91" s="49"/>
      <c r="C91" s="1">
        <v>1</v>
      </c>
      <c r="D91" s="1"/>
      <c r="E91" s="1" t="s">
        <v>326</v>
      </c>
      <c r="F91" s="1" t="s">
        <v>327</v>
      </c>
      <c r="G91" s="1" t="s">
        <v>328</v>
      </c>
      <c r="H91" s="1" t="s">
        <v>16</v>
      </c>
      <c r="I91" s="1" t="s">
        <v>329</v>
      </c>
      <c r="J91" s="1">
        <v>676159328</v>
      </c>
      <c r="K91" s="1" t="s">
        <v>17</v>
      </c>
      <c r="L91" s="2">
        <v>45675</v>
      </c>
      <c r="M91" s="28">
        <v>15011</v>
      </c>
      <c r="N91" s="28">
        <f>O91-M91</f>
        <v>2889</v>
      </c>
      <c r="O91" s="28">
        <v>17900</v>
      </c>
      <c r="P91" s="8">
        <f t="shared" si="15"/>
        <v>1469455</v>
      </c>
      <c r="Q91" s="49"/>
    </row>
    <row r="92" spans="1:17" x14ac:dyDescent="0.25">
      <c r="A92" s="12">
        <f t="shared" si="13"/>
        <v>89</v>
      </c>
      <c r="B92" s="49"/>
      <c r="C92" s="1">
        <v>1</v>
      </c>
      <c r="D92" s="1"/>
      <c r="E92" s="1" t="s">
        <v>330</v>
      </c>
      <c r="F92" s="1" t="s">
        <v>331</v>
      </c>
      <c r="G92" s="1" t="s">
        <v>332</v>
      </c>
      <c r="H92" s="1" t="s">
        <v>16</v>
      </c>
      <c r="I92" s="1" t="s">
        <v>333</v>
      </c>
      <c r="J92" s="1">
        <v>699731216</v>
      </c>
      <c r="K92" s="1" t="s">
        <v>17</v>
      </c>
      <c r="L92" s="2">
        <v>45675</v>
      </c>
      <c r="M92" s="28">
        <v>15011</v>
      </c>
      <c r="N92" s="28">
        <f>O92-M92</f>
        <v>2889</v>
      </c>
      <c r="O92" s="28">
        <v>17900</v>
      </c>
      <c r="P92" s="8">
        <f t="shared" si="15"/>
        <v>1487355</v>
      </c>
      <c r="Q92" s="49"/>
    </row>
    <row r="93" spans="1:17" x14ac:dyDescent="0.25">
      <c r="A93" s="12">
        <f t="shared" si="13"/>
        <v>90</v>
      </c>
      <c r="B93" s="49"/>
      <c r="C93" s="1">
        <v>1</v>
      </c>
      <c r="D93" s="1"/>
      <c r="E93" t="s">
        <v>334</v>
      </c>
      <c r="F93" s="1" t="s">
        <v>335</v>
      </c>
      <c r="G93" t="s">
        <v>336</v>
      </c>
      <c r="H93" s="1" t="s">
        <v>16</v>
      </c>
      <c r="I93" t="s">
        <v>337</v>
      </c>
      <c r="J93" s="1">
        <v>697910979</v>
      </c>
      <c r="K93" s="1" t="s">
        <v>21</v>
      </c>
      <c r="L93" s="2">
        <v>45491</v>
      </c>
      <c r="M93" s="30">
        <v>20965</v>
      </c>
      <c r="N93" s="30">
        <f t="shared" ref="N93" si="20">O93-M93</f>
        <v>4035</v>
      </c>
      <c r="O93" s="30">
        <v>25000</v>
      </c>
      <c r="P93" s="8">
        <f t="shared" si="15"/>
        <v>1512355</v>
      </c>
      <c r="Q93" s="49"/>
    </row>
    <row r="94" spans="1:17" x14ac:dyDescent="0.25">
      <c r="A94" s="12">
        <f t="shared" si="13"/>
        <v>91</v>
      </c>
      <c r="B94" s="11"/>
      <c r="C94" s="11">
        <v>1</v>
      </c>
      <c r="D94" s="11"/>
      <c r="E94" s="11"/>
      <c r="F94" s="11"/>
      <c r="G94" s="11" t="s">
        <v>338</v>
      </c>
      <c r="H94" s="11"/>
      <c r="I94" s="11"/>
      <c r="J94" s="11"/>
      <c r="K94" s="11"/>
      <c r="L94" s="11"/>
      <c r="M94" s="11"/>
      <c r="N94" s="11"/>
      <c r="O94" s="11"/>
      <c r="P94" s="9">
        <f t="shared" si="15"/>
        <v>1512355</v>
      </c>
      <c r="Q94" s="11"/>
    </row>
    <row r="95" spans="1:17" x14ac:dyDescent="0.25">
      <c r="A95" s="12">
        <f t="shared" si="13"/>
        <v>92</v>
      </c>
      <c r="B95" s="48">
        <v>45310</v>
      </c>
      <c r="C95" s="1">
        <v>1</v>
      </c>
      <c r="D95" s="1"/>
      <c r="E95" s="1" t="s">
        <v>339</v>
      </c>
      <c r="F95" s="1" t="s">
        <v>340</v>
      </c>
      <c r="G95" s="1" t="s">
        <v>341</v>
      </c>
      <c r="H95" s="1" t="s">
        <v>16</v>
      </c>
      <c r="I95" s="1" t="s">
        <v>342</v>
      </c>
      <c r="J95" s="1">
        <v>675954763</v>
      </c>
      <c r="K95" s="1" t="s">
        <v>17</v>
      </c>
      <c r="L95" s="2">
        <v>45676</v>
      </c>
      <c r="M95" s="28">
        <v>15011</v>
      </c>
      <c r="N95" s="28">
        <f>O95-M95</f>
        <v>2889</v>
      </c>
      <c r="O95" s="28">
        <v>17900</v>
      </c>
      <c r="P95" s="8">
        <f t="shared" si="15"/>
        <v>1530255</v>
      </c>
      <c r="Q95" s="51">
        <f>O95+O96+O97</f>
        <v>35800</v>
      </c>
    </row>
    <row r="96" spans="1:17" x14ac:dyDescent="0.25">
      <c r="A96" s="12">
        <f t="shared" si="13"/>
        <v>93</v>
      </c>
      <c r="B96" s="49"/>
      <c r="C96" s="1">
        <v>1</v>
      </c>
      <c r="D96" s="1"/>
      <c r="E96" s="1" t="s">
        <v>343</v>
      </c>
      <c r="F96" s="1" t="s">
        <v>344</v>
      </c>
      <c r="G96" s="1" t="s">
        <v>345</v>
      </c>
      <c r="H96" s="1" t="s">
        <v>16</v>
      </c>
      <c r="I96" s="1" t="s">
        <v>346</v>
      </c>
      <c r="J96" s="1">
        <v>676045587</v>
      </c>
      <c r="K96" s="1" t="s">
        <v>17</v>
      </c>
      <c r="L96" s="2">
        <v>45676</v>
      </c>
      <c r="M96" s="28">
        <v>15011</v>
      </c>
      <c r="N96" s="28">
        <f>O96-M96</f>
        <v>2889</v>
      </c>
      <c r="O96" s="28">
        <v>17900</v>
      </c>
      <c r="P96" s="8">
        <f t="shared" si="15"/>
        <v>1548155</v>
      </c>
      <c r="Q96" s="49"/>
    </row>
    <row r="97" spans="1:17" x14ac:dyDescent="0.25">
      <c r="A97" s="12">
        <f t="shared" si="13"/>
        <v>94</v>
      </c>
      <c r="B97" s="50"/>
      <c r="C97" s="1">
        <v>1</v>
      </c>
      <c r="D97" s="1"/>
      <c r="E97" s="1" t="s">
        <v>347</v>
      </c>
      <c r="F97" s="1" t="s">
        <v>348</v>
      </c>
      <c r="G97" s="1" t="s">
        <v>349</v>
      </c>
      <c r="H97" s="1" t="s">
        <v>16</v>
      </c>
      <c r="I97" s="1" t="s">
        <v>186</v>
      </c>
      <c r="J97" s="1">
        <v>674922242</v>
      </c>
      <c r="K97" s="1" t="s">
        <v>18</v>
      </c>
      <c r="L97" s="2">
        <v>45492</v>
      </c>
      <c r="M97" s="1">
        <v>0</v>
      </c>
      <c r="N97" s="1">
        <f>O97-M97</f>
        <v>0</v>
      </c>
      <c r="O97" s="1">
        <v>0</v>
      </c>
      <c r="P97" s="8">
        <f t="shared" si="15"/>
        <v>1548155</v>
      </c>
      <c r="Q97" s="50"/>
    </row>
    <row r="98" spans="1:17" x14ac:dyDescent="0.25">
      <c r="A98" s="12">
        <f t="shared" si="13"/>
        <v>95</v>
      </c>
      <c r="B98" s="11"/>
      <c r="C98" s="11">
        <v>1</v>
      </c>
      <c r="D98" s="11"/>
      <c r="E98" s="11"/>
      <c r="F98" s="11"/>
      <c r="G98" s="11" t="s">
        <v>350</v>
      </c>
      <c r="H98" s="11" t="s">
        <v>16</v>
      </c>
      <c r="I98" s="11"/>
      <c r="J98" s="11"/>
      <c r="K98" s="11"/>
      <c r="L98" s="11"/>
      <c r="M98" s="11"/>
      <c r="N98" s="11"/>
      <c r="O98" s="11"/>
      <c r="P98" s="9">
        <f t="shared" si="15"/>
        <v>1548155</v>
      </c>
      <c r="Q98" s="11"/>
    </row>
    <row r="99" spans="1:17" x14ac:dyDescent="0.25">
      <c r="A99" s="12">
        <f t="shared" si="13"/>
        <v>96</v>
      </c>
      <c r="B99" s="48">
        <v>45311</v>
      </c>
      <c r="C99" s="1">
        <v>1</v>
      </c>
      <c r="D99" s="1"/>
      <c r="E99" s="1" t="s">
        <v>351</v>
      </c>
      <c r="F99" s="1" t="s">
        <v>352</v>
      </c>
      <c r="G99" t="s">
        <v>353</v>
      </c>
      <c r="H99" s="1" t="s">
        <v>16</v>
      </c>
      <c r="I99" t="s">
        <v>354</v>
      </c>
      <c r="J99" s="1">
        <v>699852844</v>
      </c>
      <c r="K99" s="1" t="s">
        <v>17</v>
      </c>
      <c r="L99" s="2">
        <v>45676</v>
      </c>
      <c r="M99" s="28">
        <v>15011</v>
      </c>
      <c r="N99" s="28">
        <f>O99-M99</f>
        <v>2889</v>
      </c>
      <c r="O99" s="28">
        <v>17900</v>
      </c>
      <c r="P99" s="8">
        <f t="shared" si="15"/>
        <v>1566055</v>
      </c>
      <c r="Q99" s="51">
        <f>O99+O100+O101+O102</f>
        <v>71600</v>
      </c>
    </row>
    <row r="100" spans="1:17" x14ac:dyDescent="0.25">
      <c r="A100" s="12">
        <f t="shared" si="13"/>
        <v>97</v>
      </c>
      <c r="B100" s="49"/>
      <c r="C100" s="1">
        <v>1</v>
      </c>
      <c r="D100" s="1"/>
      <c r="E100" s="1" t="s">
        <v>355</v>
      </c>
      <c r="F100" s="1" t="s">
        <v>356</v>
      </c>
      <c r="G100" s="1" t="s">
        <v>357</v>
      </c>
      <c r="H100" s="1" t="s">
        <v>16</v>
      </c>
      <c r="I100" s="1" t="s">
        <v>358</v>
      </c>
      <c r="J100" s="1">
        <v>699777710</v>
      </c>
      <c r="K100" s="1" t="s">
        <v>17</v>
      </c>
      <c r="L100" s="2">
        <v>45676</v>
      </c>
      <c r="M100" s="28">
        <v>15011</v>
      </c>
      <c r="N100" s="28">
        <f>O100-M100</f>
        <v>2889</v>
      </c>
      <c r="O100" s="28">
        <v>17900</v>
      </c>
      <c r="P100" s="8">
        <f t="shared" si="15"/>
        <v>1583955</v>
      </c>
      <c r="Q100" s="49"/>
    </row>
    <row r="101" spans="1:17" x14ac:dyDescent="0.25">
      <c r="A101" s="12">
        <f t="shared" si="13"/>
        <v>98</v>
      </c>
      <c r="B101" s="49"/>
      <c r="C101" s="1">
        <v>1</v>
      </c>
      <c r="D101" s="1"/>
      <c r="E101" s="1" t="s">
        <v>359</v>
      </c>
      <c r="F101" s="1" t="s">
        <v>360</v>
      </c>
      <c r="G101" s="1" t="s">
        <v>361</v>
      </c>
      <c r="H101" s="1" t="s">
        <v>16</v>
      </c>
      <c r="I101" s="1" t="s">
        <v>362</v>
      </c>
      <c r="J101" s="1">
        <v>677269280</v>
      </c>
      <c r="K101" s="1" t="s">
        <v>17</v>
      </c>
      <c r="L101" s="2">
        <v>45676</v>
      </c>
      <c r="M101" s="28">
        <v>15011</v>
      </c>
      <c r="N101" s="28">
        <f>O101-M101</f>
        <v>2889</v>
      </c>
      <c r="O101" s="28">
        <v>17900</v>
      </c>
      <c r="P101" s="8">
        <f t="shared" si="15"/>
        <v>1601855</v>
      </c>
      <c r="Q101" s="49"/>
    </row>
    <row r="102" spans="1:17" x14ac:dyDescent="0.25">
      <c r="A102" s="12">
        <f t="shared" si="13"/>
        <v>99</v>
      </c>
      <c r="B102" s="50"/>
      <c r="C102" s="1">
        <v>1</v>
      </c>
      <c r="D102" s="1"/>
      <c r="E102" s="1" t="s">
        <v>363</v>
      </c>
      <c r="F102" s="1" t="s">
        <v>364</v>
      </c>
      <c r="G102" s="1" t="s">
        <v>365</v>
      </c>
      <c r="H102" s="1" t="s">
        <v>16</v>
      </c>
      <c r="I102" s="1" t="s">
        <v>366</v>
      </c>
      <c r="J102" s="1">
        <v>699978387</v>
      </c>
      <c r="K102" s="1" t="s">
        <v>17</v>
      </c>
      <c r="L102" s="2">
        <v>45676</v>
      </c>
      <c r="M102" s="28">
        <v>15011</v>
      </c>
      <c r="N102" s="28">
        <f>O102-M102</f>
        <v>2889</v>
      </c>
      <c r="O102" s="28">
        <v>17900</v>
      </c>
      <c r="P102" s="8">
        <f t="shared" si="15"/>
        <v>1619755</v>
      </c>
      <c r="Q102" s="50"/>
    </row>
    <row r="103" spans="1:17" x14ac:dyDescent="0.25">
      <c r="A103" s="12">
        <f t="shared" si="13"/>
        <v>100</v>
      </c>
      <c r="B103" s="11"/>
      <c r="C103" s="11"/>
      <c r="D103" s="11"/>
      <c r="E103" s="11"/>
      <c r="F103" s="11"/>
      <c r="G103" s="11" t="s">
        <v>367</v>
      </c>
      <c r="H103" s="11" t="s">
        <v>16</v>
      </c>
      <c r="I103" s="11"/>
      <c r="J103" s="11"/>
      <c r="K103" s="11"/>
      <c r="L103" s="11"/>
      <c r="M103" s="11"/>
      <c r="N103" s="11"/>
      <c r="O103" s="11"/>
      <c r="P103" s="9">
        <f t="shared" si="15"/>
        <v>1619755</v>
      </c>
      <c r="Q103" s="11"/>
    </row>
    <row r="104" spans="1:17" x14ac:dyDescent="0.25">
      <c r="A104" s="12">
        <f t="shared" si="13"/>
        <v>101</v>
      </c>
      <c r="B104" s="48">
        <v>45313</v>
      </c>
      <c r="C104" s="1">
        <v>1</v>
      </c>
      <c r="D104" s="1"/>
      <c r="E104" s="1" t="s">
        <v>368</v>
      </c>
      <c r="F104" s="1" t="s">
        <v>369</v>
      </c>
      <c r="G104" s="1" t="s">
        <v>370</v>
      </c>
      <c r="H104" s="1" t="s">
        <v>16</v>
      </c>
      <c r="I104" s="1" t="s">
        <v>371</v>
      </c>
      <c r="J104" s="1">
        <v>678400027</v>
      </c>
      <c r="K104" s="1" t="s">
        <v>21</v>
      </c>
      <c r="L104" s="2">
        <v>45495</v>
      </c>
      <c r="M104" s="29">
        <v>22001</v>
      </c>
      <c r="N104" s="29">
        <f t="shared" ref="N104" si="21">O104-M104</f>
        <v>4234</v>
      </c>
      <c r="O104" s="29">
        <v>26235</v>
      </c>
      <c r="P104" s="8">
        <f t="shared" si="15"/>
        <v>1645990</v>
      </c>
      <c r="Q104" s="51">
        <f>O104+O105+O106+O107</f>
        <v>79935</v>
      </c>
    </row>
    <row r="105" spans="1:17" x14ac:dyDescent="0.25">
      <c r="A105" s="12">
        <f t="shared" si="13"/>
        <v>102</v>
      </c>
      <c r="B105" s="49"/>
      <c r="C105" s="1">
        <v>1</v>
      </c>
      <c r="D105" s="1"/>
      <c r="E105" s="1" t="s">
        <v>372</v>
      </c>
      <c r="F105" s="1" t="s">
        <v>373</v>
      </c>
      <c r="G105" s="1" t="s">
        <v>374</v>
      </c>
      <c r="H105" s="1" t="s">
        <v>16</v>
      </c>
      <c r="I105" s="1" t="s">
        <v>375</v>
      </c>
      <c r="J105" s="1">
        <v>679536511</v>
      </c>
      <c r="K105" s="1" t="s">
        <v>17</v>
      </c>
      <c r="L105" s="2">
        <v>45679</v>
      </c>
      <c r="M105" s="28">
        <v>15011</v>
      </c>
      <c r="N105" s="28">
        <f>O105-M105</f>
        <v>2889</v>
      </c>
      <c r="O105" s="28">
        <v>17900</v>
      </c>
      <c r="P105" s="8">
        <f t="shared" si="15"/>
        <v>1663890</v>
      </c>
      <c r="Q105" s="49"/>
    </row>
    <row r="106" spans="1:17" x14ac:dyDescent="0.25">
      <c r="A106" s="12">
        <f t="shared" si="13"/>
        <v>103</v>
      </c>
      <c r="B106" s="49"/>
      <c r="C106" s="1">
        <v>1</v>
      </c>
      <c r="D106" s="1"/>
      <c r="E106" s="1" t="s">
        <v>376</v>
      </c>
      <c r="F106" s="1" t="s">
        <v>377</v>
      </c>
      <c r="G106" s="1" t="s">
        <v>378</v>
      </c>
      <c r="H106" s="1" t="s">
        <v>16</v>
      </c>
      <c r="I106" s="1" t="s">
        <v>379</v>
      </c>
      <c r="J106" s="1">
        <v>693531383</v>
      </c>
      <c r="K106" s="1" t="s">
        <v>17</v>
      </c>
      <c r="L106" s="2">
        <v>45679</v>
      </c>
      <c r="M106" s="28">
        <v>15011</v>
      </c>
      <c r="N106" s="28">
        <f>O106-M106</f>
        <v>2889</v>
      </c>
      <c r="O106" s="28">
        <v>17900</v>
      </c>
      <c r="P106" s="8">
        <f t="shared" si="15"/>
        <v>1681790</v>
      </c>
      <c r="Q106" s="49"/>
    </row>
    <row r="107" spans="1:17" x14ac:dyDescent="0.25">
      <c r="A107" s="12">
        <f t="shared" si="13"/>
        <v>104</v>
      </c>
      <c r="B107" s="50"/>
      <c r="C107" s="1">
        <v>1</v>
      </c>
      <c r="D107" s="1"/>
      <c r="E107" s="1" t="s">
        <v>380</v>
      </c>
      <c r="F107" s="1" t="s">
        <v>381</v>
      </c>
      <c r="G107" t="s">
        <v>382</v>
      </c>
      <c r="H107" s="1" t="s">
        <v>16</v>
      </c>
      <c r="I107" t="s">
        <v>383</v>
      </c>
      <c r="J107" s="1">
        <v>696417544</v>
      </c>
      <c r="K107" s="1" t="s">
        <v>17</v>
      </c>
      <c r="L107" s="2">
        <v>45679</v>
      </c>
      <c r="M107" s="28">
        <v>15011</v>
      </c>
      <c r="N107" s="28">
        <f>O107-M107</f>
        <v>2889</v>
      </c>
      <c r="O107" s="28">
        <v>17900</v>
      </c>
      <c r="P107" s="8">
        <f t="shared" si="15"/>
        <v>1699690</v>
      </c>
      <c r="Q107" s="50"/>
    </row>
    <row r="108" spans="1:17" ht="15.75" x14ac:dyDescent="0.25">
      <c r="A108" s="12">
        <f t="shared" si="13"/>
        <v>105</v>
      </c>
      <c r="B108" s="11"/>
      <c r="C108" s="11">
        <v>1</v>
      </c>
      <c r="D108" s="11"/>
      <c r="E108" s="11"/>
      <c r="F108" s="11"/>
      <c r="G108" s="22" t="s">
        <v>384</v>
      </c>
      <c r="H108" s="1" t="s">
        <v>16</v>
      </c>
      <c r="I108" s="11"/>
      <c r="J108" s="11"/>
      <c r="K108" s="11"/>
      <c r="L108" s="11"/>
      <c r="M108" s="11"/>
      <c r="N108" s="11"/>
      <c r="O108" s="11"/>
      <c r="P108" s="9">
        <f t="shared" si="15"/>
        <v>1699690</v>
      </c>
      <c r="Q108" s="11"/>
    </row>
    <row r="109" spans="1:17" x14ac:dyDescent="0.25">
      <c r="A109" s="12">
        <f t="shared" si="13"/>
        <v>106</v>
      </c>
      <c r="B109" s="1"/>
      <c r="C109" s="1">
        <v>1</v>
      </c>
      <c r="D109" s="1"/>
      <c r="E109" s="1" t="s">
        <v>385</v>
      </c>
      <c r="F109" s="1" t="s">
        <v>386</v>
      </c>
      <c r="G109" s="1" t="s">
        <v>387</v>
      </c>
      <c r="H109" s="1" t="s">
        <v>16</v>
      </c>
      <c r="I109" s="1" t="s">
        <v>388</v>
      </c>
      <c r="J109" s="1">
        <v>677827451</v>
      </c>
      <c r="K109" s="1" t="s">
        <v>19</v>
      </c>
      <c r="L109" s="2">
        <v>45405</v>
      </c>
      <c r="M109" s="23">
        <v>4110</v>
      </c>
      <c r="N109" s="35">
        <f t="shared" ref="N109" si="22">O109-M109</f>
        <v>790</v>
      </c>
      <c r="O109" s="23">
        <v>4900</v>
      </c>
      <c r="P109" s="8">
        <f t="shared" si="15"/>
        <v>1704590</v>
      </c>
      <c r="Q109" s="51">
        <f>O109+O110+O111+O112</f>
        <v>66035</v>
      </c>
    </row>
    <row r="110" spans="1:17" x14ac:dyDescent="0.25">
      <c r="A110" s="12">
        <f t="shared" si="13"/>
        <v>107</v>
      </c>
      <c r="B110" s="1"/>
      <c r="C110" s="1">
        <v>1</v>
      </c>
      <c r="D110" s="1"/>
      <c r="E110" s="1" t="s">
        <v>389</v>
      </c>
      <c r="F110" s="1" t="s">
        <v>390</v>
      </c>
      <c r="G110" s="1" t="s">
        <v>391</v>
      </c>
      <c r="H110" s="1" t="s">
        <v>16</v>
      </c>
      <c r="I110" s="1" t="s">
        <v>392</v>
      </c>
      <c r="J110" s="1">
        <v>677827451</v>
      </c>
      <c r="K110" s="1" t="s">
        <v>17</v>
      </c>
      <c r="L110" s="2">
        <v>45679</v>
      </c>
      <c r="M110" s="36">
        <v>15011</v>
      </c>
      <c r="N110" s="36">
        <f>O110-M110</f>
        <v>2889</v>
      </c>
      <c r="O110" s="36">
        <v>17900</v>
      </c>
      <c r="P110" s="8">
        <f t="shared" si="15"/>
        <v>1722490</v>
      </c>
      <c r="Q110" s="49"/>
    </row>
    <row r="111" spans="1:17" x14ac:dyDescent="0.25">
      <c r="A111" s="12">
        <f t="shared" si="13"/>
        <v>108</v>
      </c>
      <c r="B111" s="1"/>
      <c r="C111" s="1">
        <v>1</v>
      </c>
      <c r="D111" s="1"/>
      <c r="E111" s="1" t="s">
        <v>393</v>
      </c>
      <c r="F111" s="1" t="s">
        <v>394</v>
      </c>
      <c r="G111" s="1" t="s">
        <v>395</v>
      </c>
      <c r="H111" s="1" t="s">
        <v>16</v>
      </c>
      <c r="I111" s="1" t="s">
        <v>396</v>
      </c>
      <c r="J111" s="1">
        <v>693383599</v>
      </c>
      <c r="K111" s="1" t="s">
        <v>17</v>
      </c>
      <c r="L111" s="2">
        <v>45679</v>
      </c>
      <c r="M111" s="29">
        <v>14256</v>
      </c>
      <c r="N111" s="29">
        <f t="shared" ref="N111:N112" si="23">O111-M111</f>
        <v>2744</v>
      </c>
      <c r="O111" s="29">
        <v>17000</v>
      </c>
      <c r="P111" s="8">
        <f t="shared" si="15"/>
        <v>1739490</v>
      </c>
      <c r="Q111" s="49"/>
    </row>
    <row r="112" spans="1:17" x14ac:dyDescent="0.25">
      <c r="A112" s="12">
        <f t="shared" si="13"/>
        <v>109</v>
      </c>
      <c r="B112" s="1"/>
      <c r="C112" s="1">
        <v>1</v>
      </c>
      <c r="D112" s="1"/>
      <c r="E112" s="1" t="s">
        <v>397</v>
      </c>
      <c r="F112" s="1" t="s">
        <v>398</v>
      </c>
      <c r="G112" t="s">
        <v>20</v>
      </c>
      <c r="H112" s="1" t="s">
        <v>16</v>
      </c>
      <c r="I112" t="s">
        <v>399</v>
      </c>
      <c r="J112" s="1">
        <v>692077013</v>
      </c>
      <c r="K112" s="1" t="s">
        <v>21</v>
      </c>
      <c r="L112" s="2">
        <v>45495</v>
      </c>
      <c r="M112" s="29">
        <v>22001</v>
      </c>
      <c r="N112" s="29">
        <f t="shared" si="23"/>
        <v>4234</v>
      </c>
      <c r="O112" s="29">
        <v>26235</v>
      </c>
      <c r="P112" s="8">
        <f t="shared" si="15"/>
        <v>1765725</v>
      </c>
      <c r="Q112" s="50"/>
    </row>
    <row r="113" spans="1:17" x14ac:dyDescent="0.25">
      <c r="A113" s="11">
        <f t="shared" si="13"/>
        <v>110</v>
      </c>
      <c r="B113" s="11"/>
      <c r="C113" s="11"/>
      <c r="D113" s="11"/>
      <c r="E113" s="11"/>
      <c r="F113" s="11"/>
      <c r="G113" s="11" t="s">
        <v>400</v>
      </c>
      <c r="H113" s="11" t="s">
        <v>16</v>
      </c>
      <c r="I113" s="11"/>
      <c r="J113" s="11"/>
      <c r="K113" s="11"/>
      <c r="L113" s="11"/>
      <c r="M113" s="11"/>
      <c r="N113" s="11"/>
      <c r="O113" s="11"/>
      <c r="P113" s="9">
        <f t="shared" si="15"/>
        <v>1765725</v>
      </c>
      <c r="Q113" s="11"/>
    </row>
    <row r="114" spans="1:17" x14ac:dyDescent="0.25">
      <c r="A114" s="12">
        <f t="shared" si="13"/>
        <v>111</v>
      </c>
      <c r="B114" s="48">
        <v>45315</v>
      </c>
      <c r="C114" s="1">
        <v>1</v>
      </c>
      <c r="D114" s="1"/>
      <c r="E114" s="1" t="s">
        <v>401</v>
      </c>
      <c r="F114" s="1" t="s">
        <v>402</v>
      </c>
      <c r="G114" s="1" t="s">
        <v>403</v>
      </c>
      <c r="H114" s="1" t="s">
        <v>16</v>
      </c>
      <c r="I114" s="1" t="s">
        <v>404</v>
      </c>
      <c r="J114" s="1">
        <v>690991429</v>
      </c>
      <c r="K114" s="1" t="s">
        <v>17</v>
      </c>
      <c r="L114" s="2">
        <v>45681</v>
      </c>
      <c r="M114" s="28">
        <v>15011</v>
      </c>
      <c r="N114" s="28">
        <f>O114-M114</f>
        <v>2889</v>
      </c>
      <c r="O114" s="28">
        <v>17900</v>
      </c>
      <c r="P114" s="8">
        <f t="shared" si="15"/>
        <v>1783625</v>
      </c>
      <c r="Q114" s="51">
        <f>O114+O115+O116+O117+O118+O119</f>
        <v>121935</v>
      </c>
    </row>
    <row r="115" spans="1:17" x14ac:dyDescent="0.25">
      <c r="A115" s="12">
        <f t="shared" si="13"/>
        <v>112</v>
      </c>
      <c r="B115" s="49"/>
      <c r="C115" s="1">
        <v>1</v>
      </c>
      <c r="D115" s="1"/>
      <c r="E115" s="1" t="s">
        <v>405</v>
      </c>
      <c r="F115" s="1" t="s">
        <v>406</v>
      </c>
      <c r="G115" s="1" t="s">
        <v>407</v>
      </c>
      <c r="H115" s="1" t="s">
        <v>16</v>
      </c>
      <c r="I115" s="1" t="s">
        <v>408</v>
      </c>
      <c r="J115" s="1">
        <v>653721163</v>
      </c>
      <c r="K115" s="1" t="s">
        <v>21</v>
      </c>
      <c r="L115" s="2">
        <v>45497</v>
      </c>
      <c r="M115" s="29">
        <v>22001</v>
      </c>
      <c r="N115" s="29">
        <f t="shared" ref="N115:N116" si="24">O115-M115</f>
        <v>4234</v>
      </c>
      <c r="O115" s="29">
        <v>26235</v>
      </c>
      <c r="P115" s="8">
        <f t="shared" si="15"/>
        <v>1809860</v>
      </c>
      <c r="Q115" s="52"/>
    </row>
    <row r="116" spans="1:17" x14ac:dyDescent="0.25">
      <c r="A116" s="12">
        <f t="shared" si="13"/>
        <v>113</v>
      </c>
      <c r="B116" s="49"/>
      <c r="C116" s="1">
        <v>1</v>
      </c>
      <c r="D116" s="1"/>
      <c r="E116" s="1" t="s">
        <v>409</v>
      </c>
      <c r="F116" s="1" t="s">
        <v>410</v>
      </c>
      <c r="G116" s="1" t="s">
        <v>411</v>
      </c>
      <c r="H116" s="1" t="s">
        <v>16</v>
      </c>
      <c r="I116" s="1" t="s">
        <v>412</v>
      </c>
      <c r="J116" s="1">
        <v>653721163</v>
      </c>
      <c r="K116" s="1" t="s">
        <v>21</v>
      </c>
      <c r="L116" s="2">
        <v>45497</v>
      </c>
      <c r="M116" s="30">
        <v>20965</v>
      </c>
      <c r="N116" s="30">
        <f t="shared" si="24"/>
        <v>4035</v>
      </c>
      <c r="O116" s="30">
        <v>25000</v>
      </c>
      <c r="P116" s="8">
        <f t="shared" si="15"/>
        <v>1834860</v>
      </c>
      <c r="Q116" s="52"/>
    </row>
    <row r="117" spans="1:17" x14ac:dyDescent="0.25">
      <c r="A117" s="12">
        <f t="shared" si="13"/>
        <v>114</v>
      </c>
      <c r="B117" s="49"/>
      <c r="C117" s="1">
        <v>1</v>
      </c>
      <c r="D117" s="1"/>
      <c r="E117" s="1" t="s">
        <v>413</v>
      </c>
      <c r="F117" s="1" t="s">
        <v>414</v>
      </c>
      <c r="G117" s="1" t="s">
        <v>415</v>
      </c>
      <c r="H117" s="1" t="s">
        <v>16</v>
      </c>
      <c r="I117" s="1" t="s">
        <v>416</v>
      </c>
      <c r="J117" s="1">
        <v>675623661</v>
      </c>
      <c r="K117" s="1" t="s">
        <v>17</v>
      </c>
      <c r="L117" s="2">
        <v>45681</v>
      </c>
      <c r="M117" s="28">
        <v>15011</v>
      </c>
      <c r="N117" s="28">
        <f>O117-M117</f>
        <v>2889</v>
      </c>
      <c r="O117" s="28">
        <v>17900</v>
      </c>
      <c r="P117" s="8">
        <f t="shared" si="15"/>
        <v>1852760</v>
      </c>
      <c r="Q117" s="52"/>
    </row>
    <row r="118" spans="1:17" x14ac:dyDescent="0.25">
      <c r="A118" s="12">
        <f t="shared" si="13"/>
        <v>115</v>
      </c>
      <c r="B118" s="49"/>
      <c r="C118" s="1">
        <v>1</v>
      </c>
      <c r="D118" s="1"/>
      <c r="E118" s="1" t="s">
        <v>417</v>
      </c>
      <c r="F118" s="1" t="s">
        <v>418</v>
      </c>
      <c r="G118" s="1" t="s">
        <v>419</v>
      </c>
      <c r="H118" s="1" t="s">
        <v>16</v>
      </c>
      <c r="I118" s="1" t="s">
        <v>420</v>
      </c>
      <c r="J118" s="1">
        <v>699791565</v>
      </c>
      <c r="K118" s="1" t="s">
        <v>17</v>
      </c>
      <c r="L118" s="2">
        <v>45681</v>
      </c>
      <c r="M118" s="28">
        <v>15011</v>
      </c>
      <c r="N118" s="28">
        <f>O118-M118</f>
        <v>2889</v>
      </c>
      <c r="O118" s="28">
        <v>17900</v>
      </c>
      <c r="P118" s="8">
        <f t="shared" si="15"/>
        <v>1870660</v>
      </c>
      <c r="Q118" s="52"/>
    </row>
    <row r="119" spans="1:17" x14ac:dyDescent="0.25">
      <c r="A119" s="12">
        <f t="shared" si="13"/>
        <v>116</v>
      </c>
      <c r="B119" s="50"/>
      <c r="C119" s="1">
        <v>1</v>
      </c>
      <c r="D119" s="1"/>
      <c r="E119" s="1" t="s">
        <v>421</v>
      </c>
      <c r="F119" s="1" t="s">
        <v>422</v>
      </c>
      <c r="G119" s="1" t="s">
        <v>423</v>
      </c>
      <c r="H119" s="1" t="s">
        <v>16</v>
      </c>
      <c r="I119" s="1" t="s">
        <v>424</v>
      </c>
      <c r="J119" s="1">
        <v>674431384</v>
      </c>
      <c r="K119" s="1" t="s">
        <v>17</v>
      </c>
      <c r="L119" s="2">
        <v>45681</v>
      </c>
      <c r="M119" s="29">
        <v>14256</v>
      </c>
      <c r="N119" s="29">
        <f t="shared" ref="N119" si="25">O119-M119</f>
        <v>2744</v>
      </c>
      <c r="O119" s="29">
        <v>17000</v>
      </c>
      <c r="P119" s="8">
        <f t="shared" si="15"/>
        <v>1887660</v>
      </c>
      <c r="Q119" s="53"/>
    </row>
    <row r="120" spans="1:17" x14ac:dyDescent="0.25">
      <c r="A120" s="12">
        <f t="shared" si="13"/>
        <v>117</v>
      </c>
      <c r="B120" s="11"/>
      <c r="C120" s="11">
        <v>1</v>
      </c>
      <c r="D120" s="11"/>
      <c r="E120" s="11"/>
      <c r="F120" s="11"/>
      <c r="G120" s="11" t="s">
        <v>425</v>
      </c>
      <c r="H120" s="11" t="s">
        <v>16</v>
      </c>
      <c r="I120" s="11"/>
      <c r="J120" s="11"/>
      <c r="K120" s="11"/>
      <c r="L120" s="11"/>
      <c r="M120" s="11"/>
      <c r="N120" s="11"/>
      <c r="O120" s="11"/>
      <c r="P120" s="9">
        <f t="shared" si="15"/>
        <v>1887660</v>
      </c>
      <c r="Q120" s="11"/>
    </row>
    <row r="121" spans="1:17" x14ac:dyDescent="0.25">
      <c r="A121" s="12">
        <f t="shared" si="13"/>
        <v>118</v>
      </c>
      <c r="B121" s="48">
        <v>45316</v>
      </c>
      <c r="C121" s="1">
        <v>1</v>
      </c>
      <c r="D121" s="1"/>
      <c r="E121" s="1" t="s">
        <v>426</v>
      </c>
      <c r="F121" s="1" t="s">
        <v>427</v>
      </c>
      <c r="G121" s="1" t="s">
        <v>428</v>
      </c>
      <c r="H121" s="1" t="s">
        <v>16</v>
      </c>
      <c r="I121" s="1" t="s">
        <v>429</v>
      </c>
      <c r="J121" s="1">
        <v>674922242</v>
      </c>
      <c r="K121" s="1" t="s">
        <v>18</v>
      </c>
      <c r="L121" s="2">
        <v>45498</v>
      </c>
      <c r="M121" s="30">
        <v>12579</v>
      </c>
      <c r="N121" s="30">
        <f t="shared" ref="N121:N124" si="26">O121-M121</f>
        <v>2421</v>
      </c>
      <c r="O121" s="30">
        <v>15000</v>
      </c>
      <c r="P121" s="8">
        <f t="shared" si="15"/>
        <v>1902660</v>
      </c>
      <c r="Q121" s="51">
        <f>O121+O122+O123+O124</f>
        <v>83235</v>
      </c>
    </row>
    <row r="122" spans="1:17" x14ac:dyDescent="0.25">
      <c r="A122" s="12">
        <f t="shared" si="13"/>
        <v>119</v>
      </c>
      <c r="B122" s="49"/>
      <c r="C122" s="1">
        <v>1</v>
      </c>
      <c r="D122" s="1"/>
      <c r="E122" s="1" t="s">
        <v>430</v>
      </c>
      <c r="F122" s="1" t="s">
        <v>431</v>
      </c>
      <c r="G122" s="1" t="s">
        <v>432</v>
      </c>
      <c r="H122" s="1" t="s">
        <v>16</v>
      </c>
      <c r="I122" s="1" t="s">
        <v>433</v>
      </c>
      <c r="J122" s="1">
        <v>698464493</v>
      </c>
      <c r="K122" s="1" t="s">
        <v>17</v>
      </c>
      <c r="L122" s="2">
        <v>45682</v>
      </c>
      <c r="M122" s="29">
        <v>14256</v>
      </c>
      <c r="N122" s="29">
        <f t="shared" si="26"/>
        <v>2744</v>
      </c>
      <c r="O122" s="29">
        <v>17000</v>
      </c>
      <c r="P122" s="8">
        <f t="shared" si="15"/>
        <v>1919660</v>
      </c>
      <c r="Q122" s="49"/>
    </row>
    <row r="123" spans="1:17" x14ac:dyDescent="0.25">
      <c r="A123" s="12">
        <f t="shared" si="13"/>
        <v>120</v>
      </c>
      <c r="B123" s="49"/>
      <c r="C123" s="1">
        <v>1</v>
      </c>
      <c r="D123" s="1"/>
      <c r="E123" s="1" t="s">
        <v>434</v>
      </c>
      <c r="F123" s="1" t="s">
        <v>435</v>
      </c>
      <c r="G123" s="1" t="s">
        <v>436</v>
      </c>
      <c r="H123" s="1" t="s">
        <v>16</v>
      </c>
      <c r="I123" s="1" t="s">
        <v>437</v>
      </c>
      <c r="J123" s="1">
        <v>676412543</v>
      </c>
      <c r="K123" s="1" t="s">
        <v>21</v>
      </c>
      <c r="L123" s="2">
        <v>45498</v>
      </c>
      <c r="M123" s="30">
        <v>20965</v>
      </c>
      <c r="N123" s="30">
        <f t="shared" si="26"/>
        <v>4035</v>
      </c>
      <c r="O123" s="30">
        <v>25000</v>
      </c>
      <c r="P123" s="8">
        <f t="shared" si="15"/>
        <v>1944660</v>
      </c>
      <c r="Q123" s="49"/>
    </row>
    <row r="124" spans="1:17" x14ac:dyDescent="0.25">
      <c r="A124" s="12">
        <f t="shared" si="13"/>
        <v>121</v>
      </c>
      <c r="B124" s="49"/>
      <c r="C124" s="1">
        <v>1</v>
      </c>
      <c r="D124" s="1"/>
      <c r="E124" s="1" t="s">
        <v>438</v>
      </c>
      <c r="F124" s="1" t="s">
        <v>439</v>
      </c>
      <c r="G124" s="1" t="s">
        <v>440</v>
      </c>
      <c r="H124" s="1" t="s">
        <v>16</v>
      </c>
      <c r="I124" s="1" t="s">
        <v>441</v>
      </c>
      <c r="J124" s="1">
        <v>676412543</v>
      </c>
      <c r="K124" s="1" t="s">
        <v>21</v>
      </c>
      <c r="L124" s="2">
        <v>45498</v>
      </c>
      <c r="M124" s="29">
        <v>22001</v>
      </c>
      <c r="N124" s="29">
        <f t="shared" si="26"/>
        <v>4234</v>
      </c>
      <c r="O124" s="29">
        <v>26235</v>
      </c>
      <c r="P124" s="8">
        <f t="shared" si="15"/>
        <v>1970895</v>
      </c>
      <c r="Q124" s="49"/>
    </row>
    <row r="125" spans="1:17" x14ac:dyDescent="0.25">
      <c r="A125" s="12">
        <f t="shared" si="13"/>
        <v>122</v>
      </c>
      <c r="B125" s="11"/>
      <c r="C125" s="11">
        <v>1</v>
      </c>
      <c r="D125" s="11"/>
      <c r="E125" s="11"/>
      <c r="F125" s="11"/>
      <c r="G125" s="11" t="s">
        <v>15</v>
      </c>
      <c r="H125" s="11" t="s">
        <v>16</v>
      </c>
      <c r="I125" s="11"/>
      <c r="J125" s="11"/>
      <c r="K125" s="11"/>
      <c r="L125" s="11"/>
      <c r="M125" s="11"/>
      <c r="N125" s="11"/>
      <c r="O125" s="11"/>
      <c r="P125" s="9">
        <f t="shared" si="15"/>
        <v>1970895</v>
      </c>
      <c r="Q125" s="11"/>
    </row>
    <row r="126" spans="1:17" x14ac:dyDescent="0.25">
      <c r="A126" s="12">
        <f t="shared" si="13"/>
        <v>123</v>
      </c>
      <c r="B126" s="48">
        <v>45317</v>
      </c>
      <c r="C126" s="1">
        <v>1</v>
      </c>
      <c r="D126" s="1"/>
      <c r="E126" s="1" t="s">
        <v>442</v>
      </c>
      <c r="F126" s="1" t="s">
        <v>443</v>
      </c>
      <c r="G126" s="1" t="s">
        <v>444</v>
      </c>
      <c r="H126" s="1" t="s">
        <v>16</v>
      </c>
      <c r="I126" s="1" t="s">
        <v>445</v>
      </c>
      <c r="J126" s="1">
        <v>679638049</v>
      </c>
      <c r="K126" s="1" t="s">
        <v>21</v>
      </c>
      <c r="L126" s="2">
        <v>45499</v>
      </c>
      <c r="M126" s="30">
        <v>20965</v>
      </c>
      <c r="N126" s="30">
        <f t="shared" ref="N126:N128" si="27">O126-M126</f>
        <v>4035</v>
      </c>
      <c r="O126" s="30">
        <v>25000</v>
      </c>
      <c r="P126" s="8">
        <f t="shared" si="15"/>
        <v>1995895</v>
      </c>
      <c r="Q126" s="51">
        <f>+O126+O127+O128+O129</f>
        <v>92900</v>
      </c>
    </row>
    <row r="127" spans="1:17" x14ac:dyDescent="0.25">
      <c r="A127" s="12">
        <f t="shared" si="13"/>
        <v>124</v>
      </c>
      <c r="B127" s="56"/>
      <c r="C127" s="1">
        <v>1</v>
      </c>
      <c r="D127" s="1"/>
      <c r="E127" s="1" t="s">
        <v>446</v>
      </c>
      <c r="F127" s="1" t="s">
        <v>447</v>
      </c>
      <c r="G127" t="s">
        <v>448</v>
      </c>
      <c r="H127" s="1" t="s">
        <v>16</v>
      </c>
      <c r="I127" t="s">
        <v>449</v>
      </c>
      <c r="J127" s="1">
        <v>679638049</v>
      </c>
      <c r="K127" s="1" t="s">
        <v>21</v>
      </c>
      <c r="L127" s="2">
        <v>45499</v>
      </c>
      <c r="M127" s="30">
        <v>20965</v>
      </c>
      <c r="N127" s="30">
        <f t="shared" si="27"/>
        <v>4035</v>
      </c>
      <c r="O127" s="30">
        <v>25000</v>
      </c>
      <c r="P127" s="8">
        <f t="shared" si="15"/>
        <v>2020895</v>
      </c>
      <c r="Q127" s="52"/>
    </row>
    <row r="128" spans="1:17" x14ac:dyDescent="0.25">
      <c r="A128" s="12">
        <f t="shared" si="13"/>
        <v>125</v>
      </c>
      <c r="B128" s="56"/>
      <c r="C128" s="1">
        <v>1</v>
      </c>
      <c r="D128" s="1"/>
      <c r="E128" s="1" t="s">
        <v>450</v>
      </c>
      <c r="F128" s="1" t="s">
        <v>451</v>
      </c>
      <c r="G128" t="s">
        <v>452</v>
      </c>
      <c r="H128" s="1" t="s">
        <v>16</v>
      </c>
      <c r="I128" t="s">
        <v>453</v>
      </c>
      <c r="J128" s="1">
        <v>658123665</v>
      </c>
      <c r="K128" s="1" t="s">
        <v>21</v>
      </c>
      <c r="L128" s="2">
        <v>45499</v>
      </c>
      <c r="M128" s="30">
        <v>20965</v>
      </c>
      <c r="N128" s="30">
        <f t="shared" si="27"/>
        <v>4035</v>
      </c>
      <c r="O128" s="30">
        <v>25000</v>
      </c>
      <c r="P128" s="8">
        <f t="shared" si="15"/>
        <v>2045895</v>
      </c>
      <c r="Q128" s="52"/>
    </row>
    <row r="129" spans="1:17" x14ac:dyDescent="0.25">
      <c r="A129" s="12">
        <f t="shared" si="13"/>
        <v>126</v>
      </c>
      <c r="B129" s="57"/>
      <c r="C129" s="1">
        <v>1</v>
      </c>
      <c r="D129" s="1"/>
      <c r="E129" s="1"/>
      <c r="F129" s="1"/>
      <c r="G129" s="24" t="s">
        <v>454</v>
      </c>
      <c r="H129" s="1" t="s">
        <v>16</v>
      </c>
      <c r="I129" t="s">
        <v>455</v>
      </c>
      <c r="J129" s="1">
        <v>691892537</v>
      </c>
      <c r="K129" s="1" t="s">
        <v>17</v>
      </c>
      <c r="L129" s="1"/>
      <c r="M129" s="28">
        <v>15011</v>
      </c>
      <c r="N129" s="28">
        <f>O129-M129</f>
        <v>2889</v>
      </c>
      <c r="O129" s="28">
        <v>17900</v>
      </c>
      <c r="P129" s="8">
        <f t="shared" si="15"/>
        <v>2063795</v>
      </c>
      <c r="Q129" s="53"/>
    </row>
    <row r="130" spans="1:17" x14ac:dyDescent="0.25">
      <c r="A130" s="12">
        <f t="shared" si="13"/>
        <v>127</v>
      </c>
      <c r="B130" s="11"/>
      <c r="C130" s="11"/>
      <c r="D130" s="11"/>
      <c r="E130" s="11"/>
      <c r="F130" s="11"/>
      <c r="G130" s="11" t="s">
        <v>456</v>
      </c>
      <c r="H130" s="11" t="s">
        <v>16</v>
      </c>
      <c r="I130" s="11"/>
      <c r="J130" s="11"/>
      <c r="K130" s="11"/>
      <c r="L130" s="11"/>
      <c r="M130" s="11"/>
      <c r="N130" s="11"/>
      <c r="O130" s="11"/>
      <c r="P130" s="9">
        <f t="shared" si="15"/>
        <v>2063795</v>
      </c>
      <c r="Q130" s="11"/>
    </row>
    <row r="131" spans="1:17" x14ac:dyDescent="0.25">
      <c r="A131" s="12">
        <f t="shared" si="13"/>
        <v>128</v>
      </c>
      <c r="B131" s="48">
        <v>45318</v>
      </c>
      <c r="C131" s="1">
        <v>1</v>
      </c>
      <c r="D131" s="1"/>
      <c r="E131" s="1" t="s">
        <v>457</v>
      </c>
      <c r="F131" s="1" t="s">
        <v>458</v>
      </c>
      <c r="G131" s="1" t="s">
        <v>288</v>
      </c>
      <c r="H131" s="1" t="s">
        <v>16</v>
      </c>
      <c r="I131" s="1" t="s">
        <v>459</v>
      </c>
      <c r="J131" s="1">
        <v>651939523</v>
      </c>
      <c r="K131" s="1" t="s">
        <v>21</v>
      </c>
      <c r="L131" s="2">
        <v>45500</v>
      </c>
      <c r="M131" s="29">
        <v>22001</v>
      </c>
      <c r="N131" s="29">
        <f t="shared" ref="N131:N138" si="28">O131-M131</f>
        <v>4234</v>
      </c>
      <c r="O131" s="29">
        <v>26235</v>
      </c>
      <c r="P131" s="8">
        <f t="shared" si="15"/>
        <v>2090030</v>
      </c>
      <c r="Q131" s="51">
        <f>+O131+O132+O133</f>
        <v>41235</v>
      </c>
    </row>
    <row r="132" spans="1:17" x14ac:dyDescent="0.25">
      <c r="A132" s="12">
        <f t="shared" ref="A132:A152" si="29">A131+1</f>
        <v>129</v>
      </c>
      <c r="B132" s="49"/>
      <c r="C132" s="1">
        <v>1</v>
      </c>
      <c r="D132" s="1"/>
      <c r="E132" s="1" t="s">
        <v>460</v>
      </c>
      <c r="F132" s="1" t="s">
        <v>461</v>
      </c>
      <c r="G132" s="24" t="s">
        <v>462</v>
      </c>
      <c r="H132" s="25" t="s">
        <v>16</v>
      </c>
      <c r="I132" s="24" t="s">
        <v>455</v>
      </c>
      <c r="J132" s="1">
        <v>691892537</v>
      </c>
      <c r="K132" s="1" t="s">
        <v>17</v>
      </c>
      <c r="L132" s="2">
        <v>45684</v>
      </c>
      <c r="M132" s="1">
        <v>0</v>
      </c>
      <c r="N132" s="29">
        <f t="shared" si="28"/>
        <v>0</v>
      </c>
      <c r="O132" s="1">
        <v>0</v>
      </c>
      <c r="P132" s="8">
        <f t="shared" si="15"/>
        <v>2090030</v>
      </c>
      <c r="Q132" s="49"/>
    </row>
    <row r="133" spans="1:17" x14ac:dyDescent="0.25">
      <c r="A133" s="12">
        <f t="shared" si="29"/>
        <v>130</v>
      </c>
      <c r="B133" s="50"/>
      <c r="C133" s="1">
        <v>1</v>
      </c>
      <c r="D133" s="1"/>
      <c r="E133" s="1" t="s">
        <v>463</v>
      </c>
      <c r="F133" s="1" t="s">
        <v>464</v>
      </c>
      <c r="G133" s="1" t="s">
        <v>465</v>
      </c>
      <c r="H133" s="1" t="s">
        <v>16</v>
      </c>
      <c r="I133" s="1" t="s">
        <v>466</v>
      </c>
      <c r="J133" s="1">
        <v>656872724</v>
      </c>
      <c r="K133" s="1" t="s">
        <v>18</v>
      </c>
      <c r="L133" s="2">
        <v>45500</v>
      </c>
      <c r="M133" s="30">
        <v>12579</v>
      </c>
      <c r="N133" s="30">
        <f t="shared" si="28"/>
        <v>2421</v>
      </c>
      <c r="O133" s="30">
        <v>15000</v>
      </c>
      <c r="P133" s="8">
        <f t="shared" ref="P133:P151" si="30">P132+O133</f>
        <v>2105030</v>
      </c>
      <c r="Q133" s="50"/>
    </row>
    <row r="134" spans="1:17" x14ac:dyDescent="0.25">
      <c r="A134" s="12">
        <f t="shared" si="29"/>
        <v>131</v>
      </c>
      <c r="B134" s="11"/>
      <c r="C134" s="11">
        <v>1</v>
      </c>
      <c r="D134" s="11"/>
      <c r="E134" s="11"/>
      <c r="F134" s="11"/>
      <c r="G134" s="11" t="s">
        <v>467</v>
      </c>
      <c r="H134" s="11" t="s">
        <v>16</v>
      </c>
      <c r="I134" s="11"/>
      <c r="J134" s="11"/>
      <c r="K134" s="11"/>
      <c r="L134" s="11"/>
      <c r="M134" s="11"/>
      <c r="N134" s="33">
        <f t="shared" si="28"/>
        <v>0</v>
      </c>
      <c r="O134" s="11"/>
      <c r="P134" s="9">
        <f t="shared" si="30"/>
        <v>2105030</v>
      </c>
      <c r="Q134" s="11"/>
    </row>
    <row r="135" spans="1:17" x14ac:dyDescent="0.25">
      <c r="A135" s="12">
        <f t="shared" si="29"/>
        <v>132</v>
      </c>
      <c r="B135" s="48">
        <v>45320</v>
      </c>
      <c r="C135" s="1">
        <v>1</v>
      </c>
      <c r="D135" s="1"/>
      <c r="E135" s="1" t="s">
        <v>468</v>
      </c>
      <c r="F135" s="1" t="s">
        <v>469</v>
      </c>
      <c r="G135" s="1" t="s">
        <v>470</v>
      </c>
      <c r="H135" s="1" t="s">
        <v>16</v>
      </c>
      <c r="I135" s="1" t="s">
        <v>471</v>
      </c>
      <c r="J135" s="1">
        <v>697111299</v>
      </c>
      <c r="K135" s="1" t="s">
        <v>21</v>
      </c>
      <c r="L135" s="2">
        <v>45502</v>
      </c>
      <c r="M135" s="30">
        <v>20965</v>
      </c>
      <c r="N135" s="30">
        <f t="shared" si="28"/>
        <v>4035</v>
      </c>
      <c r="O135" s="30">
        <v>25000</v>
      </c>
      <c r="P135" s="8">
        <f t="shared" si="30"/>
        <v>2130030</v>
      </c>
      <c r="Q135" s="51">
        <f>+O135+O136</f>
        <v>50000</v>
      </c>
    </row>
    <row r="136" spans="1:17" x14ac:dyDescent="0.25">
      <c r="A136" s="12">
        <f t="shared" si="29"/>
        <v>133</v>
      </c>
      <c r="B136" s="50"/>
      <c r="C136" s="1"/>
      <c r="D136" s="1">
        <v>1</v>
      </c>
      <c r="E136" s="1" t="s">
        <v>472</v>
      </c>
      <c r="F136" s="1"/>
      <c r="G136" t="s">
        <v>473</v>
      </c>
      <c r="H136" s="1" t="s">
        <v>16</v>
      </c>
      <c r="I136" t="s">
        <v>474</v>
      </c>
      <c r="J136" s="1">
        <v>694040403</v>
      </c>
      <c r="K136" s="1" t="s">
        <v>21</v>
      </c>
      <c r="L136" s="2">
        <v>45502</v>
      </c>
      <c r="M136" s="30">
        <v>20965</v>
      </c>
      <c r="N136" s="30">
        <f t="shared" si="28"/>
        <v>4035</v>
      </c>
      <c r="O136" s="30">
        <v>25000</v>
      </c>
      <c r="P136" s="8">
        <f t="shared" si="30"/>
        <v>2155030</v>
      </c>
      <c r="Q136" s="50"/>
    </row>
    <row r="137" spans="1:17" x14ac:dyDescent="0.25">
      <c r="A137" s="12">
        <f t="shared" si="29"/>
        <v>134</v>
      </c>
      <c r="B137" s="11"/>
      <c r="C137" s="11">
        <v>1</v>
      </c>
      <c r="D137" s="11"/>
      <c r="E137" s="11"/>
      <c r="F137" s="11"/>
      <c r="G137" s="11" t="s">
        <v>475</v>
      </c>
      <c r="H137" s="11" t="s">
        <v>16</v>
      </c>
      <c r="I137" s="11"/>
      <c r="J137" s="11"/>
      <c r="K137" s="11"/>
      <c r="L137" s="11"/>
      <c r="M137" s="11"/>
      <c r="N137" s="33">
        <f t="shared" si="28"/>
        <v>0</v>
      </c>
      <c r="O137" s="11"/>
      <c r="P137" s="9">
        <f t="shared" si="30"/>
        <v>2155030</v>
      </c>
      <c r="Q137" s="11"/>
    </row>
    <row r="138" spans="1:17" x14ac:dyDescent="0.25">
      <c r="A138" s="12">
        <f t="shared" si="29"/>
        <v>135</v>
      </c>
      <c r="B138" s="48">
        <v>45321</v>
      </c>
      <c r="C138" s="1">
        <v>1</v>
      </c>
      <c r="D138" s="1"/>
      <c r="E138" s="1" t="s">
        <v>476</v>
      </c>
      <c r="F138" s="1" t="s">
        <v>477</v>
      </c>
      <c r="G138" s="1" t="s">
        <v>478</v>
      </c>
      <c r="H138" s="1" t="s">
        <v>16</v>
      </c>
      <c r="I138" s="1" t="s">
        <v>479</v>
      </c>
      <c r="J138" s="1">
        <v>671341044</v>
      </c>
      <c r="K138" s="1" t="s">
        <v>21</v>
      </c>
      <c r="L138" s="2">
        <v>45503</v>
      </c>
      <c r="M138" s="30">
        <v>20965</v>
      </c>
      <c r="N138" s="30">
        <f t="shared" si="28"/>
        <v>4035</v>
      </c>
      <c r="O138" s="30">
        <v>25000</v>
      </c>
      <c r="P138" s="8">
        <f t="shared" si="30"/>
        <v>2180030</v>
      </c>
      <c r="Q138" s="51">
        <f>O138+O139+O140+O141+O142+O143+O144+O145+O146+O147+O148</f>
        <v>217035</v>
      </c>
    </row>
    <row r="139" spans="1:17" x14ac:dyDescent="0.25">
      <c r="A139" s="12">
        <f t="shared" si="29"/>
        <v>136</v>
      </c>
      <c r="B139" s="56"/>
      <c r="C139" s="1">
        <v>1</v>
      </c>
      <c r="D139" s="1"/>
      <c r="E139" s="1" t="s">
        <v>480</v>
      </c>
      <c r="F139" s="1" t="s">
        <v>481</v>
      </c>
      <c r="G139" t="s">
        <v>482</v>
      </c>
      <c r="H139" s="1" t="s">
        <v>16</v>
      </c>
      <c r="I139" t="s">
        <v>483</v>
      </c>
      <c r="J139" s="1">
        <v>675519864</v>
      </c>
      <c r="K139" s="1" t="s">
        <v>17</v>
      </c>
      <c r="L139" s="2">
        <v>45687</v>
      </c>
      <c r="M139" s="28">
        <v>15011</v>
      </c>
      <c r="N139" s="28">
        <f>O139-M139</f>
        <v>2889</v>
      </c>
      <c r="O139" s="28">
        <v>17900</v>
      </c>
      <c r="P139" s="8">
        <f t="shared" si="30"/>
        <v>2197930</v>
      </c>
      <c r="Q139" s="52"/>
    </row>
    <row r="140" spans="1:17" x14ac:dyDescent="0.25">
      <c r="A140" s="12">
        <f t="shared" si="29"/>
        <v>137</v>
      </c>
      <c r="B140" s="56"/>
      <c r="C140" s="1">
        <v>1</v>
      </c>
      <c r="D140" s="1"/>
      <c r="E140" s="1" t="s">
        <v>484</v>
      </c>
      <c r="F140" s="1" t="s">
        <v>485</v>
      </c>
      <c r="G140" s="1" t="s">
        <v>486</v>
      </c>
      <c r="H140" s="1" t="s">
        <v>16</v>
      </c>
      <c r="I140" s="1" t="s">
        <v>487</v>
      </c>
      <c r="J140" s="1">
        <v>699680613</v>
      </c>
      <c r="K140" s="1" t="s">
        <v>18</v>
      </c>
      <c r="L140" s="2">
        <v>45503</v>
      </c>
      <c r="M140" s="28">
        <v>12998</v>
      </c>
      <c r="N140" s="28">
        <f>O140-M140</f>
        <v>2502</v>
      </c>
      <c r="O140" s="28">
        <v>15500</v>
      </c>
      <c r="P140" s="8">
        <f t="shared" si="30"/>
        <v>2213430</v>
      </c>
      <c r="Q140" s="52"/>
    </row>
    <row r="141" spans="1:17" x14ac:dyDescent="0.25">
      <c r="A141" s="12">
        <f t="shared" si="29"/>
        <v>138</v>
      </c>
      <c r="B141" s="56"/>
      <c r="C141" s="1">
        <v>1</v>
      </c>
      <c r="D141" s="1"/>
      <c r="E141" s="1" t="s">
        <v>488</v>
      </c>
      <c r="F141" s="1" t="s">
        <v>489</v>
      </c>
      <c r="G141" s="1" t="s">
        <v>490</v>
      </c>
      <c r="H141" s="1" t="s">
        <v>16</v>
      </c>
      <c r="I141" s="1" t="s">
        <v>491</v>
      </c>
      <c r="J141" s="1">
        <v>678876188</v>
      </c>
      <c r="K141" s="1" t="s">
        <v>17</v>
      </c>
      <c r="L141" s="2">
        <v>45687</v>
      </c>
      <c r="M141" s="29">
        <v>14256</v>
      </c>
      <c r="N141" s="29">
        <f t="shared" ref="N141" si="31">O141-M141</f>
        <v>2744</v>
      </c>
      <c r="O141" s="29">
        <v>17000</v>
      </c>
      <c r="P141" s="8">
        <f t="shared" si="30"/>
        <v>2230430</v>
      </c>
      <c r="Q141" s="52"/>
    </row>
    <row r="142" spans="1:17" x14ac:dyDescent="0.25">
      <c r="A142" s="12">
        <f t="shared" si="29"/>
        <v>139</v>
      </c>
      <c r="B142" s="56"/>
      <c r="C142" s="1">
        <v>1</v>
      </c>
      <c r="D142" s="1"/>
      <c r="E142" s="1" t="s">
        <v>492</v>
      </c>
      <c r="F142" s="1" t="s">
        <v>493</v>
      </c>
      <c r="G142" s="1" t="s">
        <v>494</v>
      </c>
      <c r="H142" s="1" t="s">
        <v>16</v>
      </c>
      <c r="I142" s="1" t="s">
        <v>495</v>
      </c>
      <c r="J142" s="1">
        <v>677330501</v>
      </c>
      <c r="K142" s="1" t="s">
        <v>18</v>
      </c>
      <c r="L142" s="2">
        <v>45503</v>
      </c>
      <c r="M142" s="28">
        <v>12998</v>
      </c>
      <c r="N142" s="28">
        <f>O142-M142</f>
        <v>2502</v>
      </c>
      <c r="O142" s="28">
        <v>15500</v>
      </c>
      <c r="P142" s="8">
        <f t="shared" si="30"/>
        <v>2245930</v>
      </c>
      <c r="Q142" s="52"/>
    </row>
    <row r="143" spans="1:17" x14ac:dyDescent="0.25">
      <c r="A143" s="12">
        <f t="shared" si="29"/>
        <v>140</v>
      </c>
      <c r="B143" s="56"/>
      <c r="C143" s="1">
        <v>1</v>
      </c>
      <c r="D143" s="1"/>
      <c r="E143" s="1" t="s">
        <v>496</v>
      </c>
      <c r="F143" s="1" t="s">
        <v>497</v>
      </c>
      <c r="G143" s="1" t="s">
        <v>498</v>
      </c>
      <c r="H143" s="1" t="s">
        <v>16</v>
      </c>
      <c r="I143" s="1" t="s">
        <v>499</v>
      </c>
      <c r="J143" s="1">
        <v>677105759</v>
      </c>
      <c r="K143" s="1" t="s">
        <v>18</v>
      </c>
      <c r="L143" s="2">
        <v>45503</v>
      </c>
      <c r="M143" s="30">
        <v>12579</v>
      </c>
      <c r="N143" s="30">
        <f t="shared" ref="N143:N146" si="32">O143-M143</f>
        <v>2421</v>
      </c>
      <c r="O143" s="30">
        <v>15000</v>
      </c>
      <c r="P143" s="8">
        <f t="shared" si="30"/>
        <v>2260930</v>
      </c>
      <c r="Q143" s="52"/>
    </row>
    <row r="144" spans="1:17" x14ac:dyDescent="0.25">
      <c r="A144" s="12">
        <f t="shared" si="29"/>
        <v>141</v>
      </c>
      <c r="B144" s="56"/>
      <c r="C144" s="1">
        <v>1</v>
      </c>
      <c r="D144" s="1"/>
      <c r="E144" s="1" t="s">
        <v>500</v>
      </c>
      <c r="F144" s="1" t="s">
        <v>501</v>
      </c>
      <c r="G144" s="1" t="s">
        <v>502</v>
      </c>
      <c r="H144" s="1" t="s">
        <v>16</v>
      </c>
      <c r="I144" s="1" t="s">
        <v>503</v>
      </c>
      <c r="J144" s="1">
        <v>650337690</v>
      </c>
      <c r="K144" s="1" t="s">
        <v>21</v>
      </c>
      <c r="L144" s="2">
        <v>45503</v>
      </c>
      <c r="M144" s="30">
        <v>20965</v>
      </c>
      <c r="N144" s="30">
        <f t="shared" si="32"/>
        <v>4035</v>
      </c>
      <c r="O144" s="30">
        <v>25000</v>
      </c>
      <c r="P144" s="8">
        <f t="shared" si="30"/>
        <v>2285930</v>
      </c>
      <c r="Q144" s="52"/>
    </row>
    <row r="145" spans="1:17" x14ac:dyDescent="0.25">
      <c r="A145" s="12">
        <f t="shared" si="29"/>
        <v>142</v>
      </c>
      <c r="B145" s="56"/>
      <c r="C145" s="1">
        <v>1</v>
      </c>
      <c r="D145" s="1"/>
      <c r="E145" s="1" t="s">
        <v>504</v>
      </c>
      <c r="F145" s="1" t="s">
        <v>505</v>
      </c>
      <c r="G145" s="1" t="s">
        <v>506</v>
      </c>
      <c r="H145" s="1" t="s">
        <v>16</v>
      </c>
      <c r="I145" s="1" t="s">
        <v>507</v>
      </c>
      <c r="J145" s="1">
        <v>679174963</v>
      </c>
      <c r="K145" s="1" t="s">
        <v>21</v>
      </c>
      <c r="L145" s="2">
        <v>45503</v>
      </c>
      <c r="M145" s="29">
        <v>22001</v>
      </c>
      <c r="N145" s="29">
        <f t="shared" si="32"/>
        <v>4234</v>
      </c>
      <c r="O145" s="29">
        <v>26235</v>
      </c>
      <c r="P145" s="8">
        <f t="shared" si="30"/>
        <v>2312165</v>
      </c>
      <c r="Q145" s="52"/>
    </row>
    <row r="146" spans="1:17" x14ac:dyDescent="0.25">
      <c r="A146" s="12">
        <f t="shared" si="29"/>
        <v>143</v>
      </c>
      <c r="B146" s="56"/>
      <c r="C146" s="1">
        <v>1</v>
      </c>
      <c r="D146" s="1"/>
      <c r="E146" s="1" t="s">
        <v>508</v>
      </c>
      <c r="F146" s="1" t="s">
        <v>509</v>
      </c>
      <c r="G146" s="1" t="s">
        <v>510</v>
      </c>
      <c r="H146" s="1" t="s">
        <v>16</v>
      </c>
      <c r="I146" t="s">
        <v>511</v>
      </c>
      <c r="J146" s="1">
        <v>673434146</v>
      </c>
      <c r="K146" s="1" t="s">
        <v>17</v>
      </c>
      <c r="L146" s="2">
        <v>45687</v>
      </c>
      <c r="M146" s="29">
        <v>14256</v>
      </c>
      <c r="N146" s="29">
        <f t="shared" si="32"/>
        <v>2744</v>
      </c>
      <c r="O146" s="29">
        <v>17000</v>
      </c>
      <c r="P146" s="8">
        <f t="shared" si="30"/>
        <v>2329165</v>
      </c>
      <c r="Q146" s="52"/>
    </row>
    <row r="147" spans="1:17" x14ac:dyDescent="0.25">
      <c r="A147" s="12">
        <f t="shared" si="29"/>
        <v>144</v>
      </c>
      <c r="B147" s="56"/>
      <c r="C147" s="1">
        <v>1</v>
      </c>
      <c r="D147" s="1"/>
      <c r="E147" s="1" t="s">
        <v>512</v>
      </c>
      <c r="F147" s="1" t="s">
        <v>513</v>
      </c>
      <c r="G147" s="1" t="s">
        <v>514</v>
      </c>
      <c r="H147" s="1" t="s">
        <v>16</v>
      </c>
      <c r="I147" t="s">
        <v>515</v>
      </c>
      <c r="J147" s="1">
        <v>679738203</v>
      </c>
      <c r="K147" s="1" t="s">
        <v>17</v>
      </c>
      <c r="L147" s="2">
        <v>45687</v>
      </c>
      <c r="M147" s="28">
        <v>15011</v>
      </c>
      <c r="N147" s="28">
        <f>O147-M147</f>
        <v>2889</v>
      </c>
      <c r="O147" s="28">
        <v>17900</v>
      </c>
      <c r="P147" s="8">
        <f t="shared" si="30"/>
        <v>2347065</v>
      </c>
      <c r="Q147" s="52"/>
    </row>
    <row r="148" spans="1:17" x14ac:dyDescent="0.25">
      <c r="A148" s="12">
        <f t="shared" si="29"/>
        <v>145</v>
      </c>
      <c r="B148" s="57"/>
      <c r="C148" s="1">
        <v>1</v>
      </c>
      <c r="D148" s="1"/>
      <c r="E148" s="1" t="s">
        <v>516</v>
      </c>
      <c r="F148" s="1" t="s">
        <v>517</v>
      </c>
      <c r="G148" t="s">
        <v>518</v>
      </c>
      <c r="H148" s="1" t="s">
        <v>16</v>
      </c>
      <c r="I148" t="s">
        <v>519</v>
      </c>
      <c r="J148" s="1">
        <v>695680323</v>
      </c>
      <c r="K148" s="1" t="s">
        <v>21</v>
      </c>
      <c r="L148" s="2">
        <v>45503</v>
      </c>
      <c r="M148" s="30">
        <v>20965</v>
      </c>
      <c r="N148" s="30">
        <f t="shared" ref="N148" si="33">O148-M148</f>
        <v>4035</v>
      </c>
      <c r="O148" s="30">
        <v>25000</v>
      </c>
      <c r="P148" s="8">
        <f t="shared" si="30"/>
        <v>2372065</v>
      </c>
      <c r="Q148" s="53"/>
    </row>
    <row r="149" spans="1:17" x14ac:dyDescent="0.25">
      <c r="A149" s="12">
        <f t="shared" si="29"/>
        <v>146</v>
      </c>
      <c r="B149" s="11"/>
      <c r="C149" s="11"/>
      <c r="D149" s="11"/>
      <c r="E149" s="11"/>
      <c r="F149" s="11"/>
      <c r="G149" s="11" t="s">
        <v>520</v>
      </c>
      <c r="H149" s="11" t="s">
        <v>16</v>
      </c>
      <c r="I149" s="11"/>
      <c r="J149" s="11"/>
      <c r="K149" s="11"/>
      <c r="L149" s="11"/>
      <c r="M149" s="11"/>
      <c r="N149" s="33"/>
      <c r="O149" s="9"/>
      <c r="P149" s="9">
        <f t="shared" si="30"/>
        <v>2372065</v>
      </c>
      <c r="Q149" s="11"/>
    </row>
    <row r="150" spans="1:17" x14ac:dyDescent="0.25">
      <c r="A150" s="12">
        <f t="shared" si="29"/>
        <v>147</v>
      </c>
      <c r="B150" s="54">
        <v>45322</v>
      </c>
      <c r="C150" s="1">
        <v>1</v>
      </c>
      <c r="D150" s="1"/>
      <c r="E150" s="1" t="s">
        <v>521</v>
      </c>
      <c r="F150" s="1" t="s">
        <v>522</v>
      </c>
      <c r="G150" s="1" t="s">
        <v>523</v>
      </c>
      <c r="H150" s="1" t="s">
        <v>16</v>
      </c>
      <c r="I150" s="1" t="s">
        <v>524</v>
      </c>
      <c r="J150" s="1">
        <v>670291106</v>
      </c>
      <c r="K150" s="1" t="s">
        <v>18</v>
      </c>
      <c r="L150" s="2">
        <v>45504</v>
      </c>
      <c r="M150" s="28">
        <v>12998</v>
      </c>
      <c r="N150" s="28">
        <f>O150-M150</f>
        <v>2502</v>
      </c>
      <c r="O150" s="28">
        <v>15500</v>
      </c>
      <c r="P150" s="8">
        <f t="shared" si="30"/>
        <v>2387565</v>
      </c>
      <c r="Q150" s="51">
        <f>+O150+O151</f>
        <v>33400</v>
      </c>
    </row>
    <row r="151" spans="1:17" x14ac:dyDescent="0.25">
      <c r="A151" s="12">
        <f t="shared" si="29"/>
        <v>148</v>
      </c>
      <c r="B151" s="55"/>
      <c r="C151" s="1">
        <v>1</v>
      </c>
      <c r="D151" s="1"/>
      <c r="E151" s="1" t="s">
        <v>525</v>
      </c>
      <c r="F151" s="1" t="s">
        <v>526</v>
      </c>
      <c r="G151" s="1" t="s">
        <v>527</v>
      </c>
      <c r="H151" s="1" t="s">
        <v>16</v>
      </c>
      <c r="I151" s="1" t="s">
        <v>528</v>
      </c>
      <c r="J151" s="1">
        <v>677921261</v>
      </c>
      <c r="K151" s="1" t="s">
        <v>17</v>
      </c>
      <c r="L151" s="2">
        <v>45688</v>
      </c>
      <c r="M151" s="28">
        <v>15011</v>
      </c>
      <c r="N151" s="28">
        <f>O151-M151</f>
        <v>2889</v>
      </c>
      <c r="O151" s="28">
        <v>17900</v>
      </c>
      <c r="P151" s="37">
        <f t="shared" si="30"/>
        <v>2405465</v>
      </c>
      <c r="Q151" s="50"/>
    </row>
    <row r="152" spans="1:17" x14ac:dyDescent="0.25">
      <c r="A152" s="38">
        <f t="shared" si="29"/>
        <v>149</v>
      </c>
      <c r="B152" s="18"/>
      <c r="C152" s="18"/>
      <c r="D152" s="18"/>
      <c r="E152" s="18"/>
      <c r="F152" s="18"/>
      <c r="G152" s="18" t="s">
        <v>529</v>
      </c>
      <c r="H152" s="18" t="s">
        <v>16</v>
      </c>
      <c r="I152" s="18"/>
      <c r="J152" s="18"/>
      <c r="K152" s="18"/>
      <c r="L152" s="18"/>
      <c r="M152" s="39">
        <f>SUM(M3:M151)</f>
        <v>2017232</v>
      </c>
      <c r="N152" s="39">
        <f>SUM(N3:N151)</f>
        <v>388233</v>
      </c>
      <c r="O152" s="39">
        <f>SUM(O3:O151)</f>
        <v>2405465</v>
      </c>
      <c r="P152" s="9"/>
      <c r="Q152" s="18"/>
    </row>
    <row r="157" spans="1:17" x14ac:dyDescent="0.25">
      <c r="B157" t="s">
        <v>534</v>
      </c>
      <c r="C157" s="39">
        <v>150000</v>
      </c>
    </row>
    <row r="158" spans="1:17" x14ac:dyDescent="0.25">
      <c r="B158" t="s">
        <v>535</v>
      </c>
      <c r="C158" s="39">
        <v>40000</v>
      </c>
      <c r="M158" t="s">
        <v>531</v>
      </c>
      <c r="N158" s="39">
        <v>2405465</v>
      </c>
    </row>
    <row r="159" spans="1:17" x14ac:dyDescent="0.25">
      <c r="B159" t="s">
        <v>536</v>
      </c>
      <c r="C159" s="39">
        <v>4500</v>
      </c>
      <c r="M159" t="s">
        <v>13</v>
      </c>
      <c r="N159" s="39">
        <v>388233</v>
      </c>
    </row>
    <row r="160" spans="1:17" x14ac:dyDescent="0.25">
      <c r="B160" t="s">
        <v>537</v>
      </c>
      <c r="C160" s="39">
        <v>140000</v>
      </c>
      <c r="M160" t="s">
        <v>542</v>
      </c>
      <c r="N160" s="39">
        <v>2017232</v>
      </c>
    </row>
    <row r="161" spans="2:14" x14ac:dyDescent="0.25">
      <c r="B161" t="s">
        <v>538</v>
      </c>
      <c r="C161" s="39">
        <v>68000</v>
      </c>
      <c r="M161" t="s">
        <v>541</v>
      </c>
      <c r="N161" s="40">
        <f>N160*0.055</f>
        <v>110947.76</v>
      </c>
    </row>
    <row r="162" spans="2:14" x14ac:dyDescent="0.25">
      <c r="B162" t="s">
        <v>539</v>
      </c>
      <c r="C162" s="39">
        <v>20000</v>
      </c>
      <c r="M162" t="s">
        <v>532</v>
      </c>
      <c r="N162" s="40">
        <v>62195</v>
      </c>
    </row>
    <row r="163" spans="2:14" x14ac:dyDescent="0.25">
      <c r="M163" t="s">
        <v>533</v>
      </c>
      <c r="N163" s="40">
        <v>422500</v>
      </c>
    </row>
    <row r="164" spans="2:14" x14ac:dyDescent="0.25">
      <c r="M164" t="s">
        <v>543</v>
      </c>
      <c r="N164" s="40"/>
    </row>
    <row r="166" spans="2:14" x14ac:dyDescent="0.25">
      <c r="B166" t="s">
        <v>540</v>
      </c>
      <c r="C166" s="41">
        <f>SUM(C157:C165)</f>
        <v>422500</v>
      </c>
    </row>
    <row r="167" spans="2:14" x14ac:dyDescent="0.25">
      <c r="N167" s="41">
        <f>N160-N161-N162-N163-N164</f>
        <v>1421589.24</v>
      </c>
    </row>
  </sheetData>
  <mergeCells count="52">
    <mergeCell ref="B131:B133"/>
    <mergeCell ref="Q131:Q133"/>
    <mergeCell ref="Q126:Q129"/>
    <mergeCell ref="B126:B129"/>
    <mergeCell ref="Q138:Q148"/>
    <mergeCell ref="B138:B148"/>
    <mergeCell ref="B3:B5"/>
    <mergeCell ref="Q3:Q5"/>
    <mergeCell ref="B37:B38"/>
    <mergeCell ref="B95:B97"/>
    <mergeCell ref="Q68:Q73"/>
    <mergeCell ref="B68:B73"/>
    <mergeCell ref="Q13:Q19"/>
    <mergeCell ref="B21:B25"/>
    <mergeCell ref="Q21:Q26"/>
    <mergeCell ref="B28:B29"/>
    <mergeCell ref="Q28:Q29"/>
    <mergeCell ref="B40:B44"/>
    <mergeCell ref="Q40:Q44"/>
    <mergeCell ref="B46:B52"/>
    <mergeCell ref="Q46:Q52"/>
    <mergeCell ref="B54:B58"/>
    <mergeCell ref="Q109:Q112"/>
    <mergeCell ref="B75:B80"/>
    <mergeCell ref="Q75:Q80"/>
    <mergeCell ref="Q88:Q93"/>
    <mergeCell ref="B88:B93"/>
    <mergeCell ref="B60:B66"/>
    <mergeCell ref="Q104:Q107"/>
    <mergeCell ref="B104:B107"/>
    <mergeCell ref="Q99:Q102"/>
    <mergeCell ref="B99:B102"/>
    <mergeCell ref="Q82:Q86"/>
    <mergeCell ref="B82:B86"/>
    <mergeCell ref="Q95:Q97"/>
    <mergeCell ref="Q60:Q66"/>
    <mergeCell ref="A1:P1"/>
    <mergeCell ref="B7:B11"/>
    <mergeCell ref="Q7:Q11"/>
    <mergeCell ref="B13:B18"/>
    <mergeCell ref="B150:B151"/>
    <mergeCell ref="Q150:Q151"/>
    <mergeCell ref="Q121:Q124"/>
    <mergeCell ref="B121:B124"/>
    <mergeCell ref="Q114:Q119"/>
    <mergeCell ref="Q54:Q58"/>
    <mergeCell ref="Q37:Q38"/>
    <mergeCell ref="B31:B35"/>
    <mergeCell ref="Q31:Q35"/>
    <mergeCell ref="B135:B136"/>
    <mergeCell ref="Q135:Q136"/>
    <mergeCell ref="B114:B119"/>
  </mergeCells>
  <pageMargins left="0.7" right="0.7" top="0.75" bottom="0.75" header="0.3" footer="0.3"/>
  <pageSetup paperSize="9" scale="6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877A-B78C-4093-8BD2-9B720C54C312}">
  <sheetPr>
    <pageSetUpPr fitToPage="1"/>
  </sheetPr>
  <dimension ref="A1:N131"/>
  <sheetViews>
    <sheetView tabSelected="1" workbookViewId="0">
      <selection sqref="A1:XFD1"/>
    </sheetView>
  </sheetViews>
  <sheetFormatPr defaultColWidth="11.42578125" defaultRowHeight="15" x14ac:dyDescent="0.25"/>
  <cols>
    <col min="1" max="1" width="11.42578125" customWidth="1"/>
    <col min="4" max="4" width="26.5703125" customWidth="1"/>
    <col min="6" max="6" width="54.28515625" customWidth="1"/>
    <col min="12" max="12" width="18.5703125" customWidth="1"/>
    <col min="13" max="13" width="17.7109375" customWidth="1"/>
    <col min="14" max="14" width="20.42578125" customWidth="1"/>
  </cols>
  <sheetData>
    <row r="1" spans="1:14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x14ac:dyDescent="0.25">
      <c r="A2" s="7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27" t="s">
        <v>12</v>
      </c>
      <c r="M2" s="27" t="s">
        <v>13</v>
      </c>
      <c r="N2" s="27" t="s">
        <v>14</v>
      </c>
    </row>
    <row r="3" spans="1:14" x14ac:dyDescent="0.25">
      <c r="A3" s="2">
        <v>45293</v>
      </c>
      <c r="B3" s="1">
        <v>1</v>
      </c>
      <c r="C3" s="1">
        <v>0</v>
      </c>
      <c r="D3" s="1" t="s">
        <v>23</v>
      </c>
      <c r="E3" s="1" t="s">
        <v>24</v>
      </c>
      <c r="F3" s="1" t="s">
        <v>25</v>
      </c>
      <c r="G3" s="1" t="s">
        <v>16</v>
      </c>
      <c r="H3" s="1" t="s">
        <v>26</v>
      </c>
      <c r="I3" s="1">
        <v>682640870</v>
      </c>
      <c r="J3" s="1" t="s">
        <v>18</v>
      </c>
      <c r="K3" s="2">
        <v>45475</v>
      </c>
      <c r="L3" s="28">
        <v>12998</v>
      </c>
      <c r="M3" s="28">
        <f>N3-L3</f>
        <v>2502</v>
      </c>
      <c r="N3" s="28">
        <v>15500</v>
      </c>
    </row>
    <row r="4" spans="1:14" x14ac:dyDescent="0.25">
      <c r="A4" s="2">
        <v>45293</v>
      </c>
      <c r="B4" s="1">
        <v>1</v>
      </c>
      <c r="C4" s="1">
        <v>0</v>
      </c>
      <c r="D4" s="1" t="s">
        <v>27</v>
      </c>
      <c r="E4" s="1" t="s">
        <v>28</v>
      </c>
      <c r="F4" s="1" t="s">
        <v>29</v>
      </c>
      <c r="G4" s="1" t="s">
        <v>16</v>
      </c>
      <c r="H4" s="1" t="s">
        <v>30</v>
      </c>
      <c r="I4" s="1">
        <v>691892537</v>
      </c>
      <c r="J4" s="1" t="s">
        <v>17</v>
      </c>
      <c r="K4" s="2">
        <v>45659</v>
      </c>
      <c r="L4" s="28">
        <v>15011</v>
      </c>
      <c r="M4" s="28">
        <f>N4-L4</f>
        <v>2889</v>
      </c>
      <c r="N4" s="28">
        <v>17900</v>
      </c>
    </row>
    <row r="5" spans="1:14" x14ac:dyDescent="0.25">
      <c r="A5" s="2">
        <v>45293</v>
      </c>
      <c r="B5" s="1">
        <v>1</v>
      </c>
      <c r="C5" s="1">
        <v>0</v>
      </c>
      <c r="D5" s="1" t="s">
        <v>31</v>
      </c>
      <c r="E5" s="1" t="s">
        <v>32</v>
      </c>
      <c r="F5" s="1" t="s">
        <v>33</v>
      </c>
      <c r="G5" s="1" t="s">
        <v>16</v>
      </c>
      <c r="H5" s="1" t="s">
        <v>34</v>
      </c>
      <c r="I5" s="1">
        <v>656596673</v>
      </c>
      <c r="J5" s="1" t="s">
        <v>21</v>
      </c>
      <c r="K5" s="2">
        <v>45475</v>
      </c>
      <c r="L5" s="29">
        <v>22001</v>
      </c>
      <c r="M5" s="29">
        <f t="shared" ref="M5" si="0">N5-L5</f>
        <v>4234</v>
      </c>
      <c r="N5" s="29">
        <v>26235</v>
      </c>
    </row>
    <row r="6" spans="1:14" x14ac:dyDescent="0.25">
      <c r="A6" s="2">
        <v>45294</v>
      </c>
      <c r="B6" s="1">
        <v>1</v>
      </c>
      <c r="C6" s="1">
        <v>0</v>
      </c>
      <c r="D6" s="1" t="s">
        <v>36</v>
      </c>
      <c r="E6" s="1" t="s">
        <v>37</v>
      </c>
      <c r="F6" s="1" t="s">
        <v>38</v>
      </c>
      <c r="G6" s="1" t="s">
        <v>16</v>
      </c>
      <c r="H6" s="1" t="s">
        <v>39</v>
      </c>
      <c r="I6" s="1">
        <v>657788392</v>
      </c>
      <c r="J6" s="1" t="s">
        <v>21</v>
      </c>
      <c r="K6" s="2">
        <v>45476</v>
      </c>
      <c r="L6" s="29">
        <v>22001</v>
      </c>
      <c r="M6" s="29">
        <f t="shared" ref="M6" si="1">N6-L6</f>
        <v>4234</v>
      </c>
      <c r="N6" s="29">
        <v>26235</v>
      </c>
    </row>
    <row r="7" spans="1:14" x14ac:dyDescent="0.25">
      <c r="A7" s="2">
        <v>45294</v>
      </c>
      <c r="B7" s="1">
        <v>1</v>
      </c>
      <c r="C7" s="1">
        <v>0</v>
      </c>
      <c r="D7" s="1" t="s">
        <v>40</v>
      </c>
      <c r="E7" s="1" t="s">
        <v>41</v>
      </c>
      <c r="F7" t="s">
        <v>42</v>
      </c>
      <c r="G7" s="1" t="s">
        <v>16</v>
      </c>
      <c r="H7" t="s">
        <v>43</v>
      </c>
      <c r="I7" s="1">
        <v>679783389</v>
      </c>
      <c r="J7" s="1" t="s">
        <v>17</v>
      </c>
      <c r="K7" s="2">
        <v>45660</v>
      </c>
      <c r="L7" s="28">
        <v>15011</v>
      </c>
      <c r="M7" s="28">
        <f>N7-L7</f>
        <v>2889</v>
      </c>
      <c r="N7" s="28">
        <v>17900</v>
      </c>
    </row>
    <row r="8" spans="1:14" x14ac:dyDescent="0.25">
      <c r="A8" s="2">
        <v>45294</v>
      </c>
      <c r="B8" s="1">
        <v>1</v>
      </c>
      <c r="C8" s="1">
        <v>0</v>
      </c>
      <c r="D8" s="1" t="s">
        <v>44</v>
      </c>
      <c r="E8" s="1" t="s">
        <v>45</v>
      </c>
      <c r="F8" s="1" t="s">
        <v>46</v>
      </c>
      <c r="G8" s="1" t="s">
        <v>16</v>
      </c>
      <c r="H8" s="1" t="s">
        <v>47</v>
      </c>
      <c r="I8" s="1">
        <v>683996017</v>
      </c>
      <c r="J8" s="1" t="s">
        <v>19</v>
      </c>
      <c r="K8" s="2">
        <v>45385</v>
      </c>
      <c r="L8" s="8">
        <v>3774</v>
      </c>
      <c r="M8" s="8">
        <f>N8-L8</f>
        <v>726</v>
      </c>
      <c r="N8" s="8">
        <v>4500</v>
      </c>
    </row>
    <row r="9" spans="1:14" x14ac:dyDescent="0.25">
      <c r="A9" s="2">
        <v>45294</v>
      </c>
      <c r="B9" s="1">
        <v>1</v>
      </c>
      <c r="C9" s="1">
        <v>0</v>
      </c>
      <c r="D9" s="1" t="s">
        <v>48</v>
      </c>
      <c r="E9" s="1" t="s">
        <v>49</v>
      </c>
      <c r="F9" t="s">
        <v>50</v>
      </c>
      <c r="G9" s="1" t="s">
        <v>16</v>
      </c>
      <c r="H9" t="s">
        <v>51</v>
      </c>
      <c r="I9" s="1">
        <v>671102929</v>
      </c>
      <c r="J9" s="1" t="s">
        <v>17</v>
      </c>
      <c r="K9" s="2">
        <v>45659</v>
      </c>
      <c r="L9" s="28">
        <v>15011</v>
      </c>
      <c r="M9" s="28">
        <f>N9-L9</f>
        <v>2889</v>
      </c>
      <c r="N9" s="28">
        <v>17900</v>
      </c>
    </row>
    <row r="10" spans="1:14" x14ac:dyDescent="0.25">
      <c r="A10" s="2">
        <v>45294</v>
      </c>
      <c r="B10" s="1">
        <v>1</v>
      </c>
      <c r="C10" s="1">
        <v>0</v>
      </c>
      <c r="D10" s="12" t="s">
        <v>52</v>
      </c>
      <c r="E10" s="12" t="s">
        <v>53</v>
      </c>
      <c r="F10" t="s">
        <v>54</v>
      </c>
      <c r="G10" s="12" t="s">
        <v>16</v>
      </c>
      <c r="H10" t="s">
        <v>55</v>
      </c>
      <c r="I10" s="12">
        <v>677774028</v>
      </c>
      <c r="J10" s="12" t="s">
        <v>17</v>
      </c>
      <c r="K10" s="2">
        <v>45659</v>
      </c>
      <c r="L10" s="28">
        <v>15011</v>
      </c>
      <c r="M10" s="28">
        <f>N10-L10</f>
        <v>2889</v>
      </c>
      <c r="N10" s="28">
        <v>17900</v>
      </c>
    </row>
    <row r="11" spans="1:14" x14ac:dyDescent="0.25">
      <c r="A11" s="2">
        <v>45295</v>
      </c>
      <c r="B11" s="1">
        <v>1</v>
      </c>
      <c r="C11" s="1">
        <v>0</v>
      </c>
      <c r="D11" s="1" t="s">
        <v>57</v>
      </c>
      <c r="E11" s="1" t="s">
        <v>58</v>
      </c>
      <c r="F11" t="s">
        <v>59</v>
      </c>
      <c r="G11" s="1" t="s">
        <v>16</v>
      </c>
      <c r="H11" t="s">
        <v>60</v>
      </c>
      <c r="I11" s="1">
        <v>697669188</v>
      </c>
      <c r="J11" s="1" t="s">
        <v>21</v>
      </c>
      <c r="K11" s="2">
        <v>45477</v>
      </c>
      <c r="L11" s="29">
        <v>22001</v>
      </c>
      <c r="M11" s="29">
        <f t="shared" ref="M11:M14" si="2">N11-L11</f>
        <v>4234</v>
      </c>
      <c r="N11" s="29">
        <v>26235</v>
      </c>
    </row>
    <row r="12" spans="1:14" x14ac:dyDescent="0.25">
      <c r="A12" s="2">
        <v>45295</v>
      </c>
      <c r="B12" s="1">
        <v>1</v>
      </c>
      <c r="C12" s="1">
        <v>0</v>
      </c>
      <c r="D12" s="1" t="s">
        <v>61</v>
      </c>
      <c r="E12" s="1" t="s">
        <v>62</v>
      </c>
      <c r="F12" s="1" t="s">
        <v>59</v>
      </c>
      <c r="G12" s="1" t="s">
        <v>16</v>
      </c>
      <c r="H12" s="1" t="s">
        <v>63</v>
      </c>
      <c r="I12" s="1">
        <v>697669188</v>
      </c>
      <c r="J12" s="1" t="s">
        <v>21</v>
      </c>
      <c r="K12" s="2">
        <v>45477</v>
      </c>
      <c r="L12" s="29">
        <v>22001</v>
      </c>
      <c r="M12" s="29">
        <f t="shared" si="2"/>
        <v>4234</v>
      </c>
      <c r="N12" s="29">
        <v>26235</v>
      </c>
    </row>
    <row r="13" spans="1:14" x14ac:dyDescent="0.25">
      <c r="A13" s="2">
        <v>45295</v>
      </c>
      <c r="B13" s="1">
        <v>1</v>
      </c>
      <c r="C13" s="1">
        <v>0</v>
      </c>
      <c r="D13" s="1" t="s">
        <v>64</v>
      </c>
      <c r="E13" s="1" t="s">
        <v>65</v>
      </c>
      <c r="F13" s="1" t="s">
        <v>66</v>
      </c>
      <c r="G13" s="1" t="s">
        <v>16</v>
      </c>
      <c r="H13" s="1" t="s">
        <v>67</v>
      </c>
      <c r="I13" s="1">
        <v>678641857</v>
      </c>
      <c r="J13" s="1" t="s">
        <v>17</v>
      </c>
      <c r="K13" s="2">
        <v>45661</v>
      </c>
      <c r="L13" s="29">
        <v>14256</v>
      </c>
      <c r="M13" s="29">
        <f t="shared" si="2"/>
        <v>2744</v>
      </c>
      <c r="N13" s="29">
        <v>17000</v>
      </c>
    </row>
    <row r="14" spans="1:14" x14ac:dyDescent="0.25">
      <c r="A14" s="2">
        <v>45295</v>
      </c>
      <c r="B14" s="1">
        <v>1</v>
      </c>
      <c r="C14" s="1">
        <v>0</v>
      </c>
      <c r="D14" s="1" t="s">
        <v>68</v>
      </c>
      <c r="E14" s="1" t="s">
        <v>69</v>
      </c>
      <c r="F14" s="1" t="s">
        <v>70</v>
      </c>
      <c r="G14" s="1" t="s">
        <v>16</v>
      </c>
      <c r="H14" s="1" t="s">
        <v>71</v>
      </c>
      <c r="I14" s="1">
        <v>699328088</v>
      </c>
      <c r="J14" s="1" t="s">
        <v>17</v>
      </c>
      <c r="K14" s="2">
        <v>45661</v>
      </c>
      <c r="L14" s="29">
        <v>14256</v>
      </c>
      <c r="M14" s="29">
        <f t="shared" si="2"/>
        <v>2744</v>
      </c>
      <c r="N14" s="29">
        <v>17000</v>
      </c>
    </row>
    <row r="15" spans="1:14" x14ac:dyDescent="0.25">
      <c r="A15" s="2">
        <v>45295</v>
      </c>
      <c r="B15" s="1">
        <v>1</v>
      </c>
      <c r="C15" s="1">
        <v>0</v>
      </c>
      <c r="D15" s="1" t="s">
        <v>72</v>
      </c>
      <c r="E15" s="1" t="s">
        <v>73</v>
      </c>
      <c r="F15" s="1" t="s">
        <v>74</v>
      </c>
      <c r="G15" s="1" t="s">
        <v>16</v>
      </c>
      <c r="H15" s="1" t="s">
        <v>75</v>
      </c>
      <c r="I15" s="1">
        <v>673337164</v>
      </c>
      <c r="J15" s="1" t="s">
        <v>18</v>
      </c>
      <c r="K15" s="2">
        <v>45477</v>
      </c>
      <c r="L15" s="28">
        <v>12998</v>
      </c>
      <c r="M15" s="28">
        <f>N15-L15</f>
        <v>2502</v>
      </c>
      <c r="N15" s="28">
        <v>15500</v>
      </c>
    </row>
    <row r="16" spans="1:14" x14ac:dyDescent="0.25">
      <c r="A16" s="2">
        <v>45295</v>
      </c>
      <c r="B16" s="1">
        <v>1</v>
      </c>
      <c r="C16" s="1">
        <v>0</v>
      </c>
      <c r="D16" s="1" t="s">
        <v>76</v>
      </c>
      <c r="E16" s="1" t="s">
        <v>77</v>
      </c>
      <c r="F16" s="1" t="s">
        <v>78</v>
      </c>
      <c r="G16" s="1" t="s">
        <v>16</v>
      </c>
      <c r="H16" s="1" t="s">
        <v>79</v>
      </c>
      <c r="I16" s="1">
        <v>672609163</v>
      </c>
      <c r="J16" s="1" t="s">
        <v>17</v>
      </c>
      <c r="K16" s="2">
        <v>45477</v>
      </c>
      <c r="L16" s="28">
        <v>15011</v>
      </c>
      <c r="M16" s="28">
        <f>N16-L16</f>
        <v>2889</v>
      </c>
      <c r="N16" s="28">
        <v>17900</v>
      </c>
    </row>
    <row r="17" spans="1:14" x14ac:dyDescent="0.25">
      <c r="A17" s="2">
        <v>45295</v>
      </c>
      <c r="B17" s="1">
        <v>1</v>
      </c>
      <c r="C17" s="1">
        <v>0</v>
      </c>
      <c r="D17" s="1" t="s">
        <v>80</v>
      </c>
      <c r="E17" s="1" t="s">
        <v>81</v>
      </c>
      <c r="F17" t="s">
        <v>82</v>
      </c>
      <c r="G17" s="1" t="s">
        <v>16</v>
      </c>
      <c r="H17" t="s">
        <v>83</v>
      </c>
      <c r="I17" s="1">
        <v>693792523</v>
      </c>
      <c r="J17" s="1" t="s">
        <v>19</v>
      </c>
      <c r="K17" s="2">
        <v>45386</v>
      </c>
      <c r="L17" s="8">
        <v>3774</v>
      </c>
      <c r="M17" s="8">
        <f>N17-L17</f>
        <v>726</v>
      </c>
      <c r="N17" s="8">
        <v>4500</v>
      </c>
    </row>
    <row r="18" spans="1:14" x14ac:dyDescent="0.25">
      <c r="A18" s="2">
        <v>45296</v>
      </c>
      <c r="B18" s="1">
        <v>1</v>
      </c>
      <c r="C18" s="1">
        <v>0</v>
      </c>
      <c r="D18" s="1" t="s">
        <v>85</v>
      </c>
      <c r="E18" s="1" t="s">
        <v>86</v>
      </c>
      <c r="F18" s="1" t="s">
        <v>87</v>
      </c>
      <c r="G18" s="1" t="s">
        <v>16</v>
      </c>
      <c r="H18" s="1" t="s">
        <v>88</v>
      </c>
      <c r="I18" s="1">
        <v>675853415</v>
      </c>
      <c r="J18" s="1" t="s">
        <v>19</v>
      </c>
      <c r="K18" s="2">
        <v>45387</v>
      </c>
      <c r="L18" s="8">
        <v>3774</v>
      </c>
      <c r="M18" s="8">
        <f>N18-L18</f>
        <v>726</v>
      </c>
      <c r="N18" s="8">
        <v>4500</v>
      </c>
    </row>
    <row r="19" spans="1:14" x14ac:dyDescent="0.25">
      <c r="A19" s="2">
        <v>45296</v>
      </c>
      <c r="B19" s="1">
        <v>1</v>
      </c>
      <c r="C19" s="1">
        <v>0</v>
      </c>
      <c r="D19" s="1" t="s">
        <v>89</v>
      </c>
      <c r="E19" s="1" t="s">
        <v>90</v>
      </c>
      <c r="F19" s="1" t="s">
        <v>91</v>
      </c>
      <c r="G19" s="1" t="s">
        <v>16</v>
      </c>
      <c r="H19" s="1" t="s">
        <v>92</v>
      </c>
      <c r="I19" s="1">
        <v>675279838</v>
      </c>
      <c r="J19" s="1" t="s">
        <v>17</v>
      </c>
      <c r="K19" s="2">
        <v>45662</v>
      </c>
      <c r="L19" s="29">
        <v>14256</v>
      </c>
      <c r="M19" s="29">
        <f t="shared" ref="M19:M23" si="3">N19-L19</f>
        <v>2744</v>
      </c>
      <c r="N19" s="29">
        <v>17000</v>
      </c>
    </row>
    <row r="20" spans="1:14" x14ac:dyDescent="0.25">
      <c r="A20" s="2">
        <v>45296</v>
      </c>
      <c r="B20" s="1">
        <v>1</v>
      </c>
      <c r="C20" s="1">
        <v>0</v>
      </c>
      <c r="D20" s="1" t="s">
        <v>93</v>
      </c>
      <c r="E20" s="1" t="s">
        <v>94</v>
      </c>
      <c r="F20" s="1" t="s">
        <v>95</v>
      </c>
      <c r="G20" s="1" t="s">
        <v>16</v>
      </c>
      <c r="H20" s="1" t="s">
        <v>96</v>
      </c>
      <c r="I20" s="1">
        <v>694040458</v>
      </c>
      <c r="J20" s="1" t="s">
        <v>21</v>
      </c>
      <c r="K20" s="2">
        <v>45478</v>
      </c>
      <c r="L20" s="29">
        <v>22001</v>
      </c>
      <c r="M20" s="29">
        <f t="shared" si="3"/>
        <v>4234</v>
      </c>
      <c r="N20" s="29">
        <v>26235</v>
      </c>
    </row>
    <row r="21" spans="1:14" x14ac:dyDescent="0.25">
      <c r="A21" s="2">
        <v>45296</v>
      </c>
      <c r="B21" s="1">
        <v>1</v>
      </c>
      <c r="C21" s="1">
        <v>0</v>
      </c>
      <c r="D21" s="1" t="s">
        <v>97</v>
      </c>
      <c r="E21" s="1" t="s">
        <v>98</v>
      </c>
      <c r="F21" s="1" t="s">
        <v>95</v>
      </c>
      <c r="G21" s="1" t="s">
        <v>16</v>
      </c>
      <c r="H21" s="1" t="s">
        <v>99</v>
      </c>
      <c r="I21" s="1">
        <v>694040458</v>
      </c>
      <c r="J21" s="1" t="s">
        <v>21</v>
      </c>
      <c r="K21" s="2">
        <v>45478</v>
      </c>
      <c r="L21" s="29">
        <v>22001</v>
      </c>
      <c r="M21" s="29">
        <f t="shared" si="3"/>
        <v>4234</v>
      </c>
      <c r="N21" s="29">
        <v>26235</v>
      </c>
    </row>
    <row r="22" spans="1:14" x14ac:dyDescent="0.25">
      <c r="A22" s="2">
        <v>45296</v>
      </c>
      <c r="B22" s="1">
        <v>1</v>
      </c>
      <c r="C22" s="1">
        <v>0</v>
      </c>
      <c r="D22" s="1" t="s">
        <v>100</v>
      </c>
      <c r="E22" s="1" t="s">
        <v>101</v>
      </c>
      <c r="F22" s="1" t="s">
        <v>20</v>
      </c>
      <c r="G22" s="1" t="s">
        <v>16</v>
      </c>
      <c r="H22" s="1" t="s">
        <v>102</v>
      </c>
      <c r="I22" s="1">
        <v>692077013</v>
      </c>
      <c r="J22" s="1" t="s">
        <v>21</v>
      </c>
      <c r="K22" s="2">
        <v>45478</v>
      </c>
      <c r="L22" s="29">
        <v>22001</v>
      </c>
      <c r="M22" s="29">
        <f t="shared" si="3"/>
        <v>4234</v>
      </c>
      <c r="N22" s="29">
        <v>26235</v>
      </c>
    </row>
    <row r="23" spans="1:14" x14ac:dyDescent="0.25">
      <c r="A23" s="2">
        <v>45296</v>
      </c>
      <c r="B23" s="1">
        <v>1</v>
      </c>
      <c r="C23" s="1">
        <v>0</v>
      </c>
      <c r="D23" s="1" t="s">
        <v>103</v>
      </c>
      <c r="E23" s="1" t="s">
        <v>104</v>
      </c>
      <c r="F23" t="s">
        <v>105</v>
      </c>
      <c r="G23" s="1" t="s">
        <v>16</v>
      </c>
      <c r="H23" t="s">
        <v>106</v>
      </c>
      <c r="I23" s="1">
        <v>691886080</v>
      </c>
      <c r="J23" s="1" t="s">
        <v>21</v>
      </c>
      <c r="K23" s="2">
        <v>45478</v>
      </c>
      <c r="L23" s="29">
        <v>22001</v>
      </c>
      <c r="M23" s="29">
        <f t="shared" si="3"/>
        <v>4234</v>
      </c>
      <c r="N23" s="29">
        <v>26235</v>
      </c>
    </row>
    <row r="24" spans="1:14" x14ac:dyDescent="0.25">
      <c r="A24" s="2">
        <v>45297</v>
      </c>
      <c r="B24" s="1">
        <v>1</v>
      </c>
      <c r="C24" s="1">
        <v>0</v>
      </c>
      <c r="D24" s="1" t="s">
        <v>108</v>
      </c>
      <c r="E24" s="1" t="s">
        <v>109</v>
      </c>
      <c r="F24" s="1" t="s">
        <v>110</v>
      </c>
      <c r="G24" s="1" t="s">
        <v>16</v>
      </c>
      <c r="H24" s="1" t="s">
        <v>111</v>
      </c>
      <c r="I24" s="1">
        <v>675043957</v>
      </c>
      <c r="J24" s="1" t="s">
        <v>17</v>
      </c>
      <c r="K24" s="2">
        <v>45663</v>
      </c>
      <c r="L24" s="30">
        <v>14256</v>
      </c>
      <c r="M24" s="30">
        <f t="shared" ref="M24:M37" si="4">N24-L24</f>
        <v>2744</v>
      </c>
      <c r="N24" s="30">
        <v>17000</v>
      </c>
    </row>
    <row r="25" spans="1:14" x14ac:dyDescent="0.25">
      <c r="A25" s="2">
        <v>45297</v>
      </c>
      <c r="B25" s="1">
        <v>1</v>
      </c>
      <c r="C25" s="1">
        <v>0</v>
      </c>
      <c r="D25" s="1" t="s">
        <v>112</v>
      </c>
      <c r="E25" s="1" t="s">
        <v>113</v>
      </c>
      <c r="F25" s="1" t="s">
        <v>114</v>
      </c>
      <c r="G25" s="1" t="s">
        <v>16</v>
      </c>
      <c r="H25" s="1" t="s">
        <v>115</v>
      </c>
      <c r="I25" s="1">
        <v>678913314</v>
      </c>
      <c r="J25" s="1" t="s">
        <v>21</v>
      </c>
      <c r="K25" s="2">
        <v>45479</v>
      </c>
      <c r="L25" s="30">
        <v>20965</v>
      </c>
      <c r="M25" s="30">
        <f t="shared" si="4"/>
        <v>4035</v>
      </c>
      <c r="N25" s="30">
        <v>25000</v>
      </c>
    </row>
    <row r="26" spans="1:14" x14ac:dyDescent="0.25">
      <c r="A26" s="2">
        <v>45299</v>
      </c>
      <c r="B26" s="1">
        <v>1</v>
      </c>
      <c r="C26" s="1">
        <v>0</v>
      </c>
      <c r="D26" s="1" t="s">
        <v>117</v>
      </c>
      <c r="E26" s="1" t="s">
        <v>118</v>
      </c>
      <c r="F26" s="1" t="s">
        <v>119</v>
      </c>
      <c r="G26" s="1" t="s">
        <v>16</v>
      </c>
      <c r="H26" s="1" t="s">
        <v>120</v>
      </c>
      <c r="I26" s="1">
        <v>675786780</v>
      </c>
      <c r="J26" s="1" t="s">
        <v>18</v>
      </c>
      <c r="K26" s="2">
        <v>45481</v>
      </c>
      <c r="L26" s="30">
        <v>12579</v>
      </c>
      <c r="M26" s="30">
        <f t="shared" si="4"/>
        <v>2421</v>
      </c>
      <c r="N26" s="30">
        <v>15000</v>
      </c>
    </row>
    <row r="27" spans="1:14" x14ac:dyDescent="0.25">
      <c r="A27" s="2">
        <v>45299</v>
      </c>
      <c r="B27" s="1">
        <v>1</v>
      </c>
      <c r="C27" s="1">
        <v>0</v>
      </c>
      <c r="D27" s="1" t="s">
        <v>121</v>
      </c>
      <c r="E27" s="1" t="s">
        <v>122</v>
      </c>
      <c r="F27" s="1" t="s">
        <v>123</v>
      </c>
      <c r="G27" s="1" t="s">
        <v>16</v>
      </c>
      <c r="H27" s="1" t="s">
        <v>124</v>
      </c>
      <c r="I27" s="1">
        <v>674340088</v>
      </c>
      <c r="J27" s="1" t="s">
        <v>17</v>
      </c>
      <c r="K27" s="2">
        <v>45665</v>
      </c>
      <c r="L27" s="28">
        <v>15011</v>
      </c>
      <c r="M27" s="28">
        <f>N27-L27</f>
        <v>2889</v>
      </c>
      <c r="N27" s="28">
        <v>17900</v>
      </c>
    </row>
    <row r="28" spans="1:14" x14ac:dyDescent="0.25">
      <c r="A28" s="2">
        <v>45299</v>
      </c>
      <c r="B28" s="1">
        <v>1</v>
      </c>
      <c r="C28" s="1">
        <v>0</v>
      </c>
      <c r="D28" s="1" t="s">
        <v>125</v>
      </c>
      <c r="E28" s="1" t="s">
        <v>126</v>
      </c>
      <c r="F28" s="1" t="s">
        <v>127</v>
      </c>
      <c r="G28" s="1" t="s">
        <v>16</v>
      </c>
      <c r="H28" s="1" t="s">
        <v>128</v>
      </c>
      <c r="I28" s="1">
        <v>697031534</v>
      </c>
      <c r="J28" s="1" t="s">
        <v>17</v>
      </c>
      <c r="K28" s="2">
        <v>45665</v>
      </c>
      <c r="L28" s="28">
        <v>15011</v>
      </c>
      <c r="M28" s="28">
        <f>N28-L28</f>
        <v>2889</v>
      </c>
      <c r="N28" s="28">
        <v>17900</v>
      </c>
    </row>
    <row r="29" spans="1:14" x14ac:dyDescent="0.25">
      <c r="A29" s="2">
        <v>45299</v>
      </c>
      <c r="B29" s="1">
        <v>1</v>
      </c>
      <c r="C29" s="1">
        <v>0</v>
      </c>
      <c r="D29" s="1" t="s">
        <v>129</v>
      </c>
      <c r="E29" s="1" t="s">
        <v>130</v>
      </c>
      <c r="F29" s="1" t="s">
        <v>131</v>
      </c>
      <c r="G29" s="1" t="s">
        <v>16</v>
      </c>
      <c r="H29" s="1" t="s">
        <v>132</v>
      </c>
      <c r="I29" s="1">
        <v>694588525</v>
      </c>
      <c r="J29" s="1" t="s">
        <v>17</v>
      </c>
      <c r="K29" s="2">
        <v>45665</v>
      </c>
      <c r="L29" s="29">
        <v>14256</v>
      </c>
      <c r="M29" s="29">
        <f t="shared" ref="M29" si="5">N29-L29</f>
        <v>2744</v>
      </c>
      <c r="N29" s="29">
        <v>17000</v>
      </c>
    </row>
    <row r="30" spans="1:14" x14ac:dyDescent="0.25">
      <c r="A30" s="2">
        <v>45299</v>
      </c>
      <c r="B30" s="1">
        <v>1</v>
      </c>
      <c r="C30" s="1">
        <v>0</v>
      </c>
      <c r="D30" s="1" t="s">
        <v>133</v>
      </c>
      <c r="E30" s="1" t="s">
        <v>134</v>
      </c>
      <c r="F30" s="1" t="s">
        <v>135</v>
      </c>
      <c r="G30" s="1" t="s">
        <v>16</v>
      </c>
      <c r="H30" s="1" t="s">
        <v>136</v>
      </c>
      <c r="I30" s="1">
        <v>676381040</v>
      </c>
      <c r="J30" s="1" t="s">
        <v>19</v>
      </c>
      <c r="K30" s="2">
        <v>45390</v>
      </c>
      <c r="L30" s="8">
        <v>3774</v>
      </c>
      <c r="M30" s="8">
        <f>N30-L30</f>
        <v>726</v>
      </c>
      <c r="N30" s="8">
        <v>4500</v>
      </c>
    </row>
    <row r="31" spans="1:14" x14ac:dyDescent="0.25">
      <c r="A31" s="2">
        <v>45300</v>
      </c>
      <c r="B31" s="1">
        <v>1</v>
      </c>
      <c r="C31" s="1">
        <v>0</v>
      </c>
      <c r="D31" s="1" t="s">
        <v>138</v>
      </c>
      <c r="E31" s="1" t="s">
        <v>139</v>
      </c>
      <c r="F31" s="1" t="s">
        <v>140</v>
      </c>
      <c r="G31" s="1" t="s">
        <v>16</v>
      </c>
      <c r="H31" s="1" t="s">
        <v>141</v>
      </c>
      <c r="I31" s="1">
        <v>677603455</v>
      </c>
      <c r="J31" s="1" t="s">
        <v>21</v>
      </c>
      <c r="K31" s="2">
        <v>45482</v>
      </c>
      <c r="L31" s="29">
        <v>22001</v>
      </c>
      <c r="M31" s="29">
        <f t="shared" si="4"/>
        <v>4234</v>
      </c>
      <c r="N31" s="29">
        <v>26235</v>
      </c>
    </row>
    <row r="32" spans="1:14" x14ac:dyDescent="0.25">
      <c r="A32" s="2">
        <v>45300</v>
      </c>
      <c r="B32" s="1">
        <v>1</v>
      </c>
      <c r="C32" s="1">
        <v>0</v>
      </c>
      <c r="D32" s="1" t="s">
        <v>142</v>
      </c>
      <c r="E32" s="1" t="s">
        <v>143</v>
      </c>
      <c r="F32" s="1" t="s">
        <v>140</v>
      </c>
      <c r="G32" s="1" t="s">
        <v>16</v>
      </c>
      <c r="H32" t="s">
        <v>144</v>
      </c>
      <c r="I32" s="1">
        <v>677603455</v>
      </c>
      <c r="J32" s="1" t="s">
        <v>21</v>
      </c>
      <c r="K32" s="2">
        <v>45482</v>
      </c>
      <c r="L32" s="29">
        <v>22001</v>
      </c>
      <c r="M32" s="29">
        <f t="shared" si="4"/>
        <v>4234</v>
      </c>
      <c r="N32" s="29">
        <v>26235</v>
      </c>
    </row>
    <row r="33" spans="1:14" x14ac:dyDescent="0.25">
      <c r="A33" s="2">
        <v>45301</v>
      </c>
      <c r="B33" s="1">
        <v>1</v>
      </c>
      <c r="C33" s="1">
        <v>0</v>
      </c>
      <c r="D33" s="1" t="s">
        <v>146</v>
      </c>
      <c r="E33" s="1" t="s">
        <v>147</v>
      </c>
      <c r="F33" s="1" t="s">
        <v>148</v>
      </c>
      <c r="G33" s="1" t="s">
        <v>16</v>
      </c>
      <c r="H33" s="1" t="s">
        <v>149</v>
      </c>
      <c r="I33" s="1">
        <v>691384241</v>
      </c>
      <c r="J33" s="1" t="s">
        <v>16</v>
      </c>
      <c r="K33" s="2">
        <v>45392</v>
      </c>
      <c r="L33" s="30">
        <v>16001</v>
      </c>
      <c r="M33" s="30">
        <f t="shared" si="4"/>
        <v>3079</v>
      </c>
      <c r="N33" s="30">
        <v>19080</v>
      </c>
    </row>
    <row r="34" spans="1:14" x14ac:dyDescent="0.25">
      <c r="A34" s="2">
        <v>45301</v>
      </c>
      <c r="B34" s="1">
        <v>1</v>
      </c>
      <c r="C34" s="1">
        <v>0</v>
      </c>
      <c r="D34" s="1" t="s">
        <v>150</v>
      </c>
      <c r="E34" s="1" t="s">
        <v>151</v>
      </c>
      <c r="F34" s="1" t="s">
        <v>152</v>
      </c>
      <c r="G34" s="1" t="s">
        <v>16</v>
      </c>
      <c r="H34" s="1" t="s">
        <v>153</v>
      </c>
      <c r="I34" s="1">
        <v>694742278</v>
      </c>
      <c r="J34" s="1" t="s">
        <v>21</v>
      </c>
      <c r="K34" s="2">
        <v>45483</v>
      </c>
      <c r="L34" s="29">
        <v>22001</v>
      </c>
      <c r="M34" s="29">
        <f t="shared" si="4"/>
        <v>4234</v>
      </c>
      <c r="N34" s="29">
        <v>26235</v>
      </c>
    </row>
    <row r="35" spans="1:14" x14ac:dyDescent="0.25">
      <c r="A35" s="2">
        <v>45301</v>
      </c>
      <c r="B35" s="1">
        <v>1</v>
      </c>
      <c r="C35" s="1">
        <v>0</v>
      </c>
      <c r="D35" s="1" t="s">
        <v>154</v>
      </c>
      <c r="E35" s="1" t="s">
        <v>155</v>
      </c>
      <c r="F35" s="1" t="s">
        <v>156</v>
      </c>
      <c r="G35" s="1" t="s">
        <v>16</v>
      </c>
      <c r="H35" s="1" t="s">
        <v>157</v>
      </c>
      <c r="I35" s="1">
        <v>694742278</v>
      </c>
      <c r="J35" s="1" t="s">
        <v>21</v>
      </c>
      <c r="K35" s="2">
        <v>45483</v>
      </c>
      <c r="L35" s="29">
        <v>22001</v>
      </c>
      <c r="M35" s="29">
        <f t="shared" si="4"/>
        <v>4234</v>
      </c>
      <c r="N35" s="29">
        <v>26235</v>
      </c>
    </row>
    <row r="36" spans="1:14" x14ac:dyDescent="0.25">
      <c r="A36" s="2">
        <v>45301</v>
      </c>
      <c r="B36" s="1">
        <v>1</v>
      </c>
      <c r="C36" s="1">
        <v>0</v>
      </c>
      <c r="D36" s="1" t="s">
        <v>158</v>
      </c>
      <c r="E36" s="1" t="s">
        <v>159</v>
      </c>
      <c r="F36" s="1" t="s">
        <v>160</v>
      </c>
      <c r="G36" s="1" t="s">
        <v>16</v>
      </c>
      <c r="H36" s="1" t="s">
        <v>161</v>
      </c>
      <c r="I36" s="1">
        <v>697516155</v>
      </c>
      <c r="J36" s="1" t="s">
        <v>21</v>
      </c>
      <c r="K36" s="2">
        <v>45483</v>
      </c>
      <c r="L36" s="29">
        <v>22001</v>
      </c>
      <c r="M36" s="29">
        <f t="shared" si="4"/>
        <v>4234</v>
      </c>
      <c r="N36" s="29">
        <v>26235</v>
      </c>
    </row>
    <row r="37" spans="1:14" x14ac:dyDescent="0.25">
      <c r="A37" s="2">
        <v>45301</v>
      </c>
      <c r="B37" s="1">
        <v>1</v>
      </c>
      <c r="C37" s="1">
        <v>0</v>
      </c>
      <c r="D37" s="1" t="s">
        <v>162</v>
      </c>
      <c r="E37" s="1" t="s">
        <v>163</v>
      </c>
      <c r="F37" s="1" t="s">
        <v>164</v>
      </c>
      <c r="G37" s="1" t="s">
        <v>16</v>
      </c>
      <c r="H37" s="1" t="s">
        <v>165</v>
      </c>
      <c r="I37" s="1">
        <v>695792573</v>
      </c>
      <c r="J37" s="1" t="s">
        <v>21</v>
      </c>
      <c r="K37" s="2">
        <v>45483</v>
      </c>
      <c r="L37" s="29">
        <v>22001</v>
      </c>
      <c r="M37" s="29">
        <f t="shared" si="4"/>
        <v>4234</v>
      </c>
      <c r="N37" s="29">
        <v>26235</v>
      </c>
    </row>
    <row r="38" spans="1:14" x14ac:dyDescent="0.25">
      <c r="A38" s="2">
        <v>45302</v>
      </c>
      <c r="B38" s="1">
        <v>1</v>
      </c>
      <c r="C38" s="1">
        <v>0</v>
      </c>
      <c r="D38" s="1" t="s">
        <v>167</v>
      </c>
      <c r="E38" s="1" t="s">
        <v>168</v>
      </c>
      <c r="F38" s="1" t="s">
        <v>169</v>
      </c>
      <c r="G38" s="1" t="s">
        <v>16</v>
      </c>
      <c r="H38" s="1" t="s">
        <v>170</v>
      </c>
      <c r="I38" s="1">
        <v>699691427</v>
      </c>
      <c r="J38" s="1" t="s">
        <v>17</v>
      </c>
      <c r="K38" s="2">
        <v>45668</v>
      </c>
      <c r="L38" s="29">
        <v>14256</v>
      </c>
      <c r="M38" s="29">
        <f t="shared" ref="M38:M40" si="6">N38-L38</f>
        <v>2744</v>
      </c>
      <c r="N38" s="29">
        <v>17000</v>
      </c>
    </row>
    <row r="39" spans="1:14" x14ac:dyDescent="0.25">
      <c r="A39" s="2">
        <v>45302</v>
      </c>
      <c r="B39" s="1">
        <v>1</v>
      </c>
      <c r="C39" s="1">
        <v>0</v>
      </c>
      <c r="D39" s="1" t="s">
        <v>171</v>
      </c>
      <c r="E39" s="1" t="s">
        <v>172</v>
      </c>
      <c r="F39" s="1" t="s">
        <v>173</v>
      </c>
      <c r="G39" s="1" t="s">
        <v>16</v>
      </c>
      <c r="H39" s="1" t="s">
        <v>174</v>
      </c>
      <c r="I39" s="1">
        <v>678752488</v>
      </c>
      <c r="J39" s="1" t="s">
        <v>21</v>
      </c>
      <c r="K39" s="2">
        <v>45484</v>
      </c>
      <c r="L39" s="29">
        <v>22001</v>
      </c>
      <c r="M39" s="29">
        <f t="shared" si="6"/>
        <v>4234</v>
      </c>
      <c r="N39" s="29">
        <v>26235</v>
      </c>
    </row>
    <row r="40" spans="1:14" x14ac:dyDescent="0.25">
      <c r="A40" s="2">
        <v>45302</v>
      </c>
      <c r="B40" s="1">
        <v>1</v>
      </c>
      <c r="C40" s="1">
        <v>0</v>
      </c>
      <c r="D40" s="1" t="s">
        <v>175</v>
      </c>
      <c r="E40" s="1" t="s">
        <v>176</v>
      </c>
      <c r="F40" s="1" t="s">
        <v>177</v>
      </c>
      <c r="G40" s="1" t="s">
        <v>16</v>
      </c>
      <c r="H40" s="1" t="s">
        <v>178</v>
      </c>
      <c r="I40" s="1">
        <v>677656352</v>
      </c>
      <c r="J40" s="1" t="s">
        <v>17</v>
      </c>
      <c r="K40" s="2">
        <v>45668</v>
      </c>
      <c r="L40" s="29">
        <v>14256</v>
      </c>
      <c r="M40" s="29">
        <f t="shared" si="6"/>
        <v>2744</v>
      </c>
      <c r="N40" s="29">
        <v>17000</v>
      </c>
    </row>
    <row r="41" spans="1:14" x14ac:dyDescent="0.25">
      <c r="A41" s="2">
        <v>45302</v>
      </c>
      <c r="B41" s="1">
        <v>1</v>
      </c>
      <c r="C41" s="1">
        <v>0</v>
      </c>
      <c r="D41" s="1" t="s">
        <v>179</v>
      </c>
      <c r="E41" s="1" t="s">
        <v>180</v>
      </c>
      <c r="F41" s="1" t="s">
        <v>181</v>
      </c>
      <c r="G41" s="1" t="s">
        <v>16</v>
      </c>
      <c r="H41" s="1" t="s">
        <v>182</v>
      </c>
      <c r="I41" s="1">
        <v>698664280</v>
      </c>
      <c r="J41" s="1" t="s">
        <v>17</v>
      </c>
      <c r="K41" s="2">
        <v>45668</v>
      </c>
      <c r="L41" s="28">
        <v>15011</v>
      </c>
      <c r="M41" s="28">
        <f>N41-L41</f>
        <v>2889</v>
      </c>
      <c r="N41" s="28">
        <v>17900</v>
      </c>
    </row>
    <row r="42" spans="1:14" x14ac:dyDescent="0.25">
      <c r="A42" s="2">
        <v>45302</v>
      </c>
      <c r="B42" s="1">
        <v>1</v>
      </c>
      <c r="C42" s="1">
        <v>0</v>
      </c>
      <c r="D42" s="1" t="s">
        <v>183</v>
      </c>
      <c r="E42" s="1" t="s">
        <v>184</v>
      </c>
      <c r="F42" s="1" t="s">
        <v>185</v>
      </c>
      <c r="G42" s="1" t="s">
        <v>16</v>
      </c>
      <c r="H42" s="1" t="s">
        <v>186</v>
      </c>
      <c r="I42" s="1">
        <v>674922242</v>
      </c>
      <c r="J42" s="1" t="s">
        <v>16</v>
      </c>
      <c r="K42" s="2">
        <v>45393</v>
      </c>
      <c r="L42" s="30">
        <v>12579</v>
      </c>
      <c r="M42" s="30">
        <f t="shared" ref="M42" si="7">N42-L42</f>
        <v>2421</v>
      </c>
      <c r="N42" s="30">
        <v>15000</v>
      </c>
    </row>
    <row r="43" spans="1:14" x14ac:dyDescent="0.25">
      <c r="A43" s="2">
        <v>45302</v>
      </c>
      <c r="B43" s="1">
        <v>1</v>
      </c>
      <c r="C43" s="1">
        <v>0</v>
      </c>
      <c r="D43" s="1" t="s">
        <v>187</v>
      </c>
      <c r="E43" s="1" t="s">
        <v>188</v>
      </c>
      <c r="F43" s="1" t="s">
        <v>189</v>
      </c>
      <c r="G43" s="1" t="s">
        <v>16</v>
      </c>
      <c r="H43" s="1" t="s">
        <v>190</v>
      </c>
      <c r="I43" s="1">
        <v>697356488</v>
      </c>
      <c r="J43" s="1" t="s">
        <v>17</v>
      </c>
      <c r="K43" s="2">
        <v>45668</v>
      </c>
      <c r="L43" s="28">
        <v>15011</v>
      </c>
      <c r="M43" s="28">
        <f>N43-L43</f>
        <v>2889</v>
      </c>
      <c r="N43" s="28">
        <v>17900</v>
      </c>
    </row>
    <row r="44" spans="1:14" x14ac:dyDescent="0.25">
      <c r="A44" s="2">
        <v>45302</v>
      </c>
      <c r="B44" s="1">
        <v>1</v>
      </c>
      <c r="C44" s="1">
        <v>0</v>
      </c>
      <c r="D44" s="1" t="s">
        <v>191</v>
      </c>
      <c r="E44" s="1" t="s">
        <v>192</v>
      </c>
      <c r="F44" t="s">
        <v>193</v>
      </c>
      <c r="G44" s="1" t="s">
        <v>16</v>
      </c>
      <c r="H44" t="s">
        <v>194</v>
      </c>
      <c r="I44" s="1">
        <v>675482181</v>
      </c>
      <c r="J44" s="1" t="s">
        <v>21</v>
      </c>
      <c r="K44" s="2">
        <v>45484</v>
      </c>
      <c r="L44" s="29">
        <v>22001</v>
      </c>
      <c r="M44" s="29">
        <f t="shared" ref="M44:M50" si="8">N44-L44</f>
        <v>4234</v>
      </c>
      <c r="N44" s="29">
        <v>26235</v>
      </c>
    </row>
    <row r="45" spans="1:14" x14ac:dyDescent="0.25">
      <c r="A45" s="2">
        <v>45303</v>
      </c>
      <c r="B45" s="1">
        <v>1</v>
      </c>
      <c r="C45" s="1">
        <v>0</v>
      </c>
      <c r="D45" s="1" t="s">
        <v>196</v>
      </c>
      <c r="E45" s="1" t="s">
        <v>197</v>
      </c>
      <c r="F45" s="1" t="s">
        <v>198</v>
      </c>
      <c r="G45" s="1" t="s">
        <v>16</v>
      </c>
      <c r="H45" s="1" t="s">
        <v>199</v>
      </c>
      <c r="I45" s="1">
        <v>676326335</v>
      </c>
      <c r="J45" s="1" t="s">
        <v>19</v>
      </c>
      <c r="K45" s="2">
        <v>45394</v>
      </c>
      <c r="L45" s="21">
        <v>4110</v>
      </c>
      <c r="M45" s="34">
        <f t="shared" si="8"/>
        <v>790</v>
      </c>
      <c r="N45" s="21">
        <v>4900</v>
      </c>
    </row>
    <row r="46" spans="1:14" x14ac:dyDescent="0.25">
      <c r="A46" s="2">
        <v>45303</v>
      </c>
      <c r="B46" s="1">
        <v>1</v>
      </c>
      <c r="C46" s="1">
        <v>0</v>
      </c>
      <c r="D46" s="1" t="s">
        <v>200</v>
      </c>
      <c r="E46" s="1" t="s">
        <v>201</v>
      </c>
      <c r="F46" s="1" t="s">
        <v>202</v>
      </c>
      <c r="G46" s="1" t="s">
        <v>16</v>
      </c>
      <c r="H46" s="1" t="s">
        <v>203</v>
      </c>
      <c r="I46" s="1">
        <v>693914753</v>
      </c>
      <c r="J46" s="1" t="s">
        <v>17</v>
      </c>
      <c r="K46" s="2">
        <v>45669</v>
      </c>
      <c r="L46" s="28">
        <v>15011</v>
      </c>
      <c r="M46" s="28">
        <f>N46-L46</f>
        <v>2889</v>
      </c>
      <c r="N46" s="28">
        <v>17900</v>
      </c>
    </row>
    <row r="47" spans="1:14" x14ac:dyDescent="0.25">
      <c r="A47" s="2">
        <v>45303</v>
      </c>
      <c r="B47" s="1">
        <v>1</v>
      </c>
      <c r="C47" s="1">
        <v>0</v>
      </c>
      <c r="D47" s="1" t="s">
        <v>204</v>
      </c>
      <c r="E47" s="1" t="s">
        <v>205</v>
      </c>
      <c r="F47" s="1" t="s">
        <v>22</v>
      </c>
      <c r="G47" s="1" t="s">
        <v>16</v>
      </c>
      <c r="H47" s="1" t="s">
        <v>206</v>
      </c>
      <c r="I47" s="1">
        <v>674093435</v>
      </c>
      <c r="J47" s="1" t="s">
        <v>17</v>
      </c>
      <c r="K47" s="2">
        <v>45669</v>
      </c>
      <c r="L47" s="29">
        <v>14256</v>
      </c>
      <c r="M47" s="29">
        <f t="shared" ref="M47:M49" si="9">N47-L47</f>
        <v>2744</v>
      </c>
      <c r="N47" s="29">
        <v>17000</v>
      </c>
    </row>
    <row r="48" spans="1:14" x14ac:dyDescent="0.25">
      <c r="A48" s="2">
        <v>45303</v>
      </c>
      <c r="B48" s="1">
        <v>1</v>
      </c>
      <c r="C48" s="1">
        <v>0</v>
      </c>
      <c r="D48" s="1" t="s">
        <v>207</v>
      </c>
      <c r="E48" s="1" t="s">
        <v>208</v>
      </c>
      <c r="F48" s="1" t="s">
        <v>209</v>
      </c>
      <c r="G48" s="1" t="s">
        <v>16</v>
      </c>
      <c r="H48" s="1" t="s">
        <v>210</v>
      </c>
      <c r="I48" s="1">
        <v>693763336</v>
      </c>
      <c r="J48" s="1" t="s">
        <v>17</v>
      </c>
      <c r="K48" s="2">
        <v>45669</v>
      </c>
      <c r="L48" s="29">
        <v>14256</v>
      </c>
      <c r="M48" s="29">
        <f t="shared" si="9"/>
        <v>2744</v>
      </c>
      <c r="N48" s="29">
        <v>17000</v>
      </c>
    </row>
    <row r="49" spans="1:14" x14ac:dyDescent="0.25">
      <c r="A49" s="2">
        <v>45303</v>
      </c>
      <c r="B49" s="1">
        <v>1</v>
      </c>
      <c r="C49" s="1">
        <v>0</v>
      </c>
      <c r="D49" s="1" t="s">
        <v>211</v>
      </c>
      <c r="E49" s="1" t="s">
        <v>212</v>
      </c>
      <c r="F49" t="s">
        <v>213</v>
      </c>
      <c r="G49" s="1" t="s">
        <v>16</v>
      </c>
      <c r="H49" s="1" t="s">
        <v>214</v>
      </c>
      <c r="I49" s="1">
        <v>699977145</v>
      </c>
      <c r="J49" s="1" t="s">
        <v>17</v>
      </c>
      <c r="K49" s="2">
        <v>45669</v>
      </c>
      <c r="L49" s="29">
        <v>14256</v>
      </c>
      <c r="M49" s="29">
        <f t="shared" si="9"/>
        <v>2744</v>
      </c>
      <c r="N49" s="29">
        <v>17000</v>
      </c>
    </row>
    <row r="50" spans="1:14" x14ac:dyDescent="0.25">
      <c r="A50" s="2">
        <v>45304</v>
      </c>
      <c r="B50" s="1">
        <v>1</v>
      </c>
      <c r="C50" s="1">
        <v>0</v>
      </c>
      <c r="D50" s="1" t="s">
        <v>216</v>
      </c>
      <c r="E50" s="1" t="s">
        <v>217</v>
      </c>
      <c r="F50" s="1" t="s">
        <v>218</v>
      </c>
      <c r="G50" s="1" t="s">
        <v>16</v>
      </c>
      <c r="H50" s="1" t="s">
        <v>219</v>
      </c>
      <c r="I50" s="1">
        <v>653156927</v>
      </c>
      <c r="J50" s="1" t="s">
        <v>17</v>
      </c>
      <c r="K50" s="2">
        <v>45670</v>
      </c>
      <c r="L50" s="29">
        <v>14256</v>
      </c>
      <c r="M50" s="29">
        <f t="shared" si="8"/>
        <v>2744</v>
      </c>
      <c r="N50" s="29">
        <v>17000</v>
      </c>
    </row>
    <row r="51" spans="1:14" x14ac:dyDescent="0.25">
      <c r="A51" s="2">
        <v>45304</v>
      </c>
      <c r="B51" s="1">
        <v>1</v>
      </c>
      <c r="C51" s="1">
        <v>0</v>
      </c>
      <c r="D51" s="1" t="s">
        <v>220</v>
      </c>
      <c r="E51" s="1" t="s">
        <v>221</v>
      </c>
      <c r="F51" s="1" t="s">
        <v>222</v>
      </c>
      <c r="G51" s="1" t="s">
        <v>16</v>
      </c>
      <c r="H51" s="1" t="s">
        <v>223</v>
      </c>
      <c r="I51" s="1">
        <v>670739342</v>
      </c>
      <c r="J51" s="1" t="s">
        <v>17</v>
      </c>
      <c r="K51" s="2">
        <v>45670</v>
      </c>
      <c r="L51" s="28">
        <v>15011</v>
      </c>
      <c r="M51" s="28">
        <f>N51-L51</f>
        <v>2889</v>
      </c>
      <c r="N51" s="28">
        <v>17900</v>
      </c>
    </row>
    <row r="52" spans="1:14" x14ac:dyDescent="0.25">
      <c r="A52" s="2">
        <v>45304</v>
      </c>
      <c r="B52" s="1">
        <v>1</v>
      </c>
      <c r="C52" s="1">
        <v>0</v>
      </c>
      <c r="D52" s="1" t="s">
        <v>224</v>
      </c>
      <c r="E52" s="1" t="s">
        <v>225</v>
      </c>
      <c r="F52" s="1" t="s">
        <v>226</v>
      </c>
      <c r="G52" s="1" t="s">
        <v>16</v>
      </c>
      <c r="H52" s="1" t="s">
        <v>227</v>
      </c>
      <c r="I52" s="1">
        <v>699655090</v>
      </c>
      <c r="J52" s="1" t="s">
        <v>17</v>
      </c>
      <c r="K52" s="2">
        <v>45670</v>
      </c>
      <c r="L52" s="29">
        <v>14256</v>
      </c>
      <c r="M52" s="29">
        <f t="shared" ref="M52:M56" si="10">N52-L52</f>
        <v>2744</v>
      </c>
      <c r="N52" s="29">
        <v>17000</v>
      </c>
    </row>
    <row r="53" spans="1:14" x14ac:dyDescent="0.25">
      <c r="A53" s="2">
        <v>45304</v>
      </c>
      <c r="B53" s="1">
        <v>1</v>
      </c>
      <c r="C53" s="1">
        <v>0</v>
      </c>
      <c r="D53" s="1" t="s">
        <v>228</v>
      </c>
      <c r="E53" s="1" t="s">
        <v>229</v>
      </c>
      <c r="F53" s="1" t="s">
        <v>230</v>
      </c>
      <c r="G53" s="1" t="s">
        <v>16</v>
      </c>
      <c r="H53" s="1" t="s">
        <v>231</v>
      </c>
      <c r="I53" s="1">
        <v>677405712</v>
      </c>
      <c r="J53" s="1" t="s">
        <v>21</v>
      </c>
      <c r="K53" s="2">
        <v>45486</v>
      </c>
      <c r="L53" s="29">
        <v>22001</v>
      </c>
      <c r="M53" s="29">
        <f t="shared" si="10"/>
        <v>4234</v>
      </c>
      <c r="N53" s="29">
        <v>26235</v>
      </c>
    </row>
    <row r="54" spans="1:14" x14ac:dyDescent="0.25">
      <c r="A54" s="2">
        <v>45304</v>
      </c>
      <c r="B54" s="1">
        <v>1</v>
      </c>
      <c r="C54" s="1">
        <v>0</v>
      </c>
      <c r="D54" s="1" t="s">
        <v>232</v>
      </c>
      <c r="E54" s="1" t="s">
        <v>233</v>
      </c>
      <c r="F54" t="s">
        <v>234</v>
      </c>
      <c r="G54" s="1" t="s">
        <v>16</v>
      </c>
      <c r="H54" t="s">
        <v>235</v>
      </c>
      <c r="I54" s="1">
        <v>677405712</v>
      </c>
      <c r="J54" s="1" t="s">
        <v>21</v>
      </c>
      <c r="K54" s="2">
        <v>45486</v>
      </c>
      <c r="L54" s="29">
        <v>22001</v>
      </c>
      <c r="M54" s="29">
        <f t="shared" si="10"/>
        <v>4234</v>
      </c>
      <c r="N54" s="29">
        <v>26235</v>
      </c>
    </row>
    <row r="55" spans="1:14" x14ac:dyDescent="0.25">
      <c r="A55" s="2">
        <v>45304</v>
      </c>
      <c r="B55" s="1">
        <v>1</v>
      </c>
      <c r="C55" s="1">
        <v>0</v>
      </c>
      <c r="D55" s="1" t="s">
        <v>236</v>
      </c>
      <c r="E55" s="1" t="s">
        <v>237</v>
      </c>
      <c r="F55" t="s">
        <v>238</v>
      </c>
      <c r="G55" s="1" t="s">
        <v>16</v>
      </c>
      <c r="H55" t="s">
        <v>239</v>
      </c>
      <c r="I55" s="1">
        <v>674207057</v>
      </c>
      <c r="J55" s="1" t="s">
        <v>21</v>
      </c>
      <c r="K55" s="2">
        <v>45486</v>
      </c>
      <c r="L55" s="29">
        <v>22001</v>
      </c>
      <c r="M55" s="29">
        <f t="shared" si="10"/>
        <v>4234</v>
      </c>
      <c r="N55" s="29">
        <v>26235</v>
      </c>
    </row>
    <row r="56" spans="1:14" x14ac:dyDescent="0.25">
      <c r="A56" s="2">
        <v>45304</v>
      </c>
      <c r="B56" s="1">
        <v>1</v>
      </c>
      <c r="C56" s="1">
        <v>0</v>
      </c>
      <c r="D56" s="1" t="s">
        <v>240</v>
      </c>
      <c r="E56" s="1" t="s">
        <v>241</v>
      </c>
      <c r="F56" t="s">
        <v>242</v>
      </c>
      <c r="G56" s="1" t="s">
        <v>16</v>
      </c>
      <c r="H56" t="s">
        <v>243</v>
      </c>
      <c r="I56" s="1">
        <v>695881210</v>
      </c>
      <c r="J56" s="1" t="s">
        <v>21</v>
      </c>
      <c r="K56" s="2">
        <v>45486</v>
      </c>
      <c r="L56" s="29">
        <v>22001</v>
      </c>
      <c r="M56" s="29">
        <f t="shared" si="10"/>
        <v>4234</v>
      </c>
      <c r="N56" s="29">
        <v>26235</v>
      </c>
    </row>
    <row r="57" spans="1:14" x14ac:dyDescent="0.25">
      <c r="A57" s="2">
        <v>45306</v>
      </c>
      <c r="B57" s="1">
        <v>1</v>
      </c>
      <c r="C57" s="1">
        <v>0</v>
      </c>
      <c r="D57" s="1" t="s">
        <v>245</v>
      </c>
      <c r="E57" s="1" t="s">
        <v>246</v>
      </c>
      <c r="F57" t="s">
        <v>247</v>
      </c>
      <c r="G57" s="1" t="s">
        <v>16</v>
      </c>
      <c r="H57" t="s">
        <v>248</v>
      </c>
      <c r="I57" s="1">
        <v>678215459</v>
      </c>
      <c r="J57" s="1" t="s">
        <v>21</v>
      </c>
      <c r="K57" s="2">
        <v>45488</v>
      </c>
      <c r="L57" s="29">
        <v>22001</v>
      </c>
      <c r="M57" s="29">
        <f t="shared" ref="M57:M58" si="11">N57-L57</f>
        <v>4234</v>
      </c>
      <c r="N57" s="29">
        <v>26235</v>
      </c>
    </row>
    <row r="58" spans="1:14" x14ac:dyDescent="0.25">
      <c r="A58" s="2">
        <v>45306</v>
      </c>
      <c r="B58" s="1">
        <v>1</v>
      </c>
      <c r="C58" s="1">
        <v>0</v>
      </c>
      <c r="D58" s="1" t="s">
        <v>249</v>
      </c>
      <c r="E58" s="1" t="s">
        <v>250</v>
      </c>
      <c r="F58" s="1" t="s">
        <v>251</v>
      </c>
      <c r="G58" s="1" t="s">
        <v>16</v>
      </c>
      <c r="H58" s="1" t="s">
        <v>252</v>
      </c>
      <c r="I58" s="1">
        <v>695462036</v>
      </c>
      <c r="J58" s="1" t="s">
        <v>17</v>
      </c>
      <c r="K58" s="2">
        <v>45672</v>
      </c>
      <c r="L58" s="29">
        <v>14256</v>
      </c>
      <c r="M58" s="29">
        <f t="shared" si="11"/>
        <v>2744</v>
      </c>
      <c r="N58" s="29">
        <v>17000</v>
      </c>
    </row>
    <row r="59" spans="1:14" x14ac:dyDescent="0.25">
      <c r="A59" s="2">
        <v>45306</v>
      </c>
      <c r="B59" s="1">
        <v>1</v>
      </c>
      <c r="C59" s="1">
        <v>0</v>
      </c>
      <c r="D59" s="1" t="s">
        <v>253</v>
      </c>
      <c r="E59" s="1" t="s">
        <v>254</v>
      </c>
      <c r="F59" s="1" t="s">
        <v>255</v>
      </c>
      <c r="G59" s="1" t="s">
        <v>16</v>
      </c>
      <c r="H59" s="1" t="s">
        <v>256</v>
      </c>
      <c r="I59" s="1">
        <v>677066447</v>
      </c>
      <c r="J59" s="1" t="s">
        <v>19</v>
      </c>
      <c r="K59" s="2">
        <v>45397</v>
      </c>
      <c r="L59" s="8">
        <v>3774</v>
      </c>
      <c r="M59" s="8">
        <f>N59-L59</f>
        <v>726</v>
      </c>
      <c r="N59" s="8">
        <v>4500</v>
      </c>
    </row>
    <row r="60" spans="1:14" x14ac:dyDescent="0.25">
      <c r="A60" s="2">
        <v>45306</v>
      </c>
      <c r="B60" s="1">
        <v>1</v>
      </c>
      <c r="C60" s="1">
        <v>0</v>
      </c>
      <c r="D60" s="1" t="s">
        <v>257</v>
      </c>
      <c r="E60" s="1" t="s">
        <v>258</v>
      </c>
      <c r="F60" s="1" t="s">
        <v>259</v>
      </c>
      <c r="G60" s="1" t="s">
        <v>16</v>
      </c>
      <c r="H60" s="1" t="s">
        <v>260</v>
      </c>
      <c r="I60" s="1">
        <v>699977145</v>
      </c>
      <c r="J60" s="1" t="s">
        <v>17</v>
      </c>
      <c r="K60" s="2">
        <v>45672</v>
      </c>
      <c r="L60" s="29">
        <v>14256</v>
      </c>
      <c r="M60" s="29">
        <f t="shared" ref="M60:M61" si="12">N60-L60</f>
        <v>2744</v>
      </c>
      <c r="N60" s="29">
        <v>17000</v>
      </c>
    </row>
    <row r="61" spans="1:14" x14ac:dyDescent="0.25">
      <c r="A61" s="2">
        <v>45306</v>
      </c>
      <c r="B61" s="1">
        <v>1</v>
      </c>
      <c r="C61" s="1">
        <v>0</v>
      </c>
      <c r="D61" s="1" t="s">
        <v>261</v>
      </c>
      <c r="E61" s="1" t="s">
        <v>262</v>
      </c>
      <c r="F61" s="1" t="s">
        <v>263</v>
      </c>
      <c r="G61" s="1" t="s">
        <v>16</v>
      </c>
      <c r="H61" s="1" t="s">
        <v>264</v>
      </c>
      <c r="I61" s="1">
        <v>699275585</v>
      </c>
      <c r="J61" s="1" t="s">
        <v>17</v>
      </c>
      <c r="K61" s="2">
        <v>45672</v>
      </c>
      <c r="L61" s="29">
        <v>14256</v>
      </c>
      <c r="M61" s="29">
        <f t="shared" si="12"/>
        <v>2744</v>
      </c>
      <c r="N61" s="29">
        <v>17000</v>
      </c>
    </row>
    <row r="62" spans="1:14" x14ac:dyDescent="0.25">
      <c r="A62" s="2">
        <v>45306</v>
      </c>
      <c r="B62" s="1">
        <v>1</v>
      </c>
      <c r="C62" s="1">
        <v>0</v>
      </c>
      <c r="D62" s="1" t="s">
        <v>265</v>
      </c>
      <c r="E62" s="1" t="s">
        <v>266</v>
      </c>
      <c r="F62" s="1" t="s">
        <v>267</v>
      </c>
      <c r="G62" s="1" t="s">
        <v>16</v>
      </c>
      <c r="H62" s="1" t="s">
        <v>268</v>
      </c>
      <c r="I62" s="1">
        <v>657414184</v>
      </c>
      <c r="J62" s="1" t="s">
        <v>16</v>
      </c>
      <c r="K62" s="2">
        <v>45397</v>
      </c>
      <c r="L62" s="28">
        <v>12998</v>
      </c>
      <c r="M62" s="28">
        <f>N62-L62</f>
        <v>2502</v>
      </c>
      <c r="N62" s="28">
        <v>15500</v>
      </c>
    </row>
    <row r="63" spans="1:14" x14ac:dyDescent="0.25">
      <c r="A63" s="2">
        <v>45307</v>
      </c>
      <c r="B63" s="1">
        <v>1</v>
      </c>
      <c r="C63" s="1">
        <v>0</v>
      </c>
      <c r="D63" s="1" t="s">
        <v>270</v>
      </c>
      <c r="E63" s="1" t="s">
        <v>271</v>
      </c>
      <c r="F63" s="1" t="s">
        <v>272</v>
      </c>
      <c r="G63" s="1" t="s">
        <v>16</v>
      </c>
      <c r="H63" s="1" t="s">
        <v>273</v>
      </c>
      <c r="I63" s="1">
        <v>677858222</v>
      </c>
      <c r="J63" s="1" t="s">
        <v>17</v>
      </c>
      <c r="K63" s="2">
        <v>45673</v>
      </c>
      <c r="L63" s="29">
        <v>14256</v>
      </c>
      <c r="M63" s="29">
        <f t="shared" ref="M63:M68" si="13">N63-L63</f>
        <v>2744</v>
      </c>
      <c r="N63" s="29">
        <v>17000</v>
      </c>
    </row>
    <row r="64" spans="1:14" x14ac:dyDescent="0.25">
      <c r="A64" s="2">
        <v>45307</v>
      </c>
      <c r="B64" s="1">
        <v>1</v>
      </c>
      <c r="C64" s="1">
        <v>0</v>
      </c>
      <c r="D64" s="1" t="s">
        <v>274</v>
      </c>
      <c r="E64" s="1" t="s">
        <v>275</v>
      </c>
      <c r="F64" s="1" t="s">
        <v>276</v>
      </c>
      <c r="G64" s="1" t="s">
        <v>16</v>
      </c>
      <c r="H64" s="1" t="s">
        <v>277</v>
      </c>
      <c r="I64" s="1">
        <v>674766676</v>
      </c>
      <c r="J64" s="1" t="s">
        <v>17</v>
      </c>
      <c r="K64" s="2">
        <v>45673</v>
      </c>
      <c r="L64" s="29">
        <v>14256</v>
      </c>
      <c r="M64" s="29">
        <f t="shared" si="13"/>
        <v>2744</v>
      </c>
      <c r="N64" s="29">
        <v>17000</v>
      </c>
    </row>
    <row r="65" spans="1:14" x14ac:dyDescent="0.25">
      <c r="A65" s="2">
        <v>45307</v>
      </c>
      <c r="B65" s="1">
        <v>1</v>
      </c>
      <c r="C65" s="1">
        <v>0</v>
      </c>
      <c r="D65" s="1" t="s">
        <v>278</v>
      </c>
      <c r="E65" s="1" t="s">
        <v>279</v>
      </c>
      <c r="F65" s="1" t="s">
        <v>280</v>
      </c>
      <c r="G65" s="1" t="s">
        <v>16</v>
      </c>
      <c r="H65" s="1" t="s">
        <v>281</v>
      </c>
      <c r="I65" s="1">
        <v>653430283</v>
      </c>
      <c r="J65" s="1" t="s">
        <v>21</v>
      </c>
      <c r="K65" s="2">
        <v>45489</v>
      </c>
      <c r="L65" s="30">
        <v>20965</v>
      </c>
      <c r="M65" s="30">
        <f t="shared" si="13"/>
        <v>4035</v>
      </c>
      <c r="N65" s="30">
        <v>25000</v>
      </c>
    </row>
    <row r="66" spans="1:14" x14ac:dyDescent="0.25">
      <c r="A66" s="2">
        <v>45307</v>
      </c>
      <c r="B66" s="1">
        <v>1</v>
      </c>
      <c r="C66" s="1">
        <v>0</v>
      </c>
      <c r="D66" s="1" t="s">
        <v>282</v>
      </c>
      <c r="E66" s="1" t="s">
        <v>283</v>
      </c>
      <c r="F66" s="1" t="s">
        <v>284</v>
      </c>
      <c r="G66" s="1" t="s">
        <v>16</v>
      </c>
      <c r="H66" s="1" t="s">
        <v>285</v>
      </c>
      <c r="I66" s="1">
        <v>675068133</v>
      </c>
      <c r="J66" s="1" t="s">
        <v>17</v>
      </c>
      <c r="K66" s="2">
        <v>45673</v>
      </c>
      <c r="L66" s="29">
        <v>14256</v>
      </c>
      <c r="M66" s="29">
        <f t="shared" si="13"/>
        <v>2744</v>
      </c>
      <c r="N66" s="29">
        <v>17000</v>
      </c>
    </row>
    <row r="67" spans="1:14" x14ac:dyDescent="0.25">
      <c r="A67" s="2">
        <v>45307</v>
      </c>
      <c r="B67" s="1">
        <v>1</v>
      </c>
      <c r="C67" s="1">
        <v>0</v>
      </c>
      <c r="D67" s="1" t="s">
        <v>286</v>
      </c>
      <c r="E67" s="1" t="s">
        <v>287</v>
      </c>
      <c r="F67" s="1" t="s">
        <v>288</v>
      </c>
      <c r="G67" s="1" t="s">
        <v>16</v>
      </c>
      <c r="H67" s="1" t="s">
        <v>289</v>
      </c>
      <c r="I67" s="1">
        <v>694329077</v>
      </c>
      <c r="J67" s="1" t="s">
        <v>21</v>
      </c>
      <c r="K67" s="2">
        <v>45489</v>
      </c>
      <c r="L67" s="29">
        <v>22001</v>
      </c>
      <c r="M67" s="29">
        <f t="shared" si="13"/>
        <v>4234</v>
      </c>
      <c r="N67" s="29">
        <v>26235</v>
      </c>
    </row>
    <row r="68" spans="1:14" x14ac:dyDescent="0.25">
      <c r="A68" s="2">
        <v>45307</v>
      </c>
      <c r="B68" s="1">
        <v>1</v>
      </c>
      <c r="C68" s="1">
        <v>0</v>
      </c>
      <c r="D68" s="1" t="s">
        <v>290</v>
      </c>
      <c r="E68" s="1" t="s">
        <v>291</v>
      </c>
      <c r="F68" t="s">
        <v>292</v>
      </c>
      <c r="G68" s="1" t="s">
        <v>16</v>
      </c>
      <c r="H68" t="s">
        <v>293</v>
      </c>
      <c r="I68" s="1">
        <v>697348371</v>
      </c>
      <c r="J68" s="1" t="s">
        <v>21</v>
      </c>
      <c r="K68" s="2">
        <v>45489</v>
      </c>
      <c r="L68" s="29">
        <v>22001</v>
      </c>
      <c r="M68" s="29">
        <f t="shared" si="13"/>
        <v>4234</v>
      </c>
      <c r="N68" s="29">
        <v>26235</v>
      </c>
    </row>
    <row r="69" spans="1:14" x14ac:dyDescent="0.25">
      <c r="A69" s="2">
        <v>45308</v>
      </c>
      <c r="B69" s="1">
        <v>1</v>
      </c>
      <c r="C69" s="1">
        <v>0</v>
      </c>
      <c r="D69" s="1" t="s">
        <v>295</v>
      </c>
      <c r="E69" s="1" t="s">
        <v>296</v>
      </c>
      <c r="F69" t="s">
        <v>292</v>
      </c>
      <c r="G69" s="1" t="s">
        <v>16</v>
      </c>
      <c r="H69" t="s">
        <v>297</v>
      </c>
      <c r="I69" s="1">
        <v>697348371</v>
      </c>
      <c r="J69" s="1" t="s">
        <v>21</v>
      </c>
      <c r="K69" s="2">
        <v>45489</v>
      </c>
      <c r="L69" s="29">
        <v>22001</v>
      </c>
      <c r="M69" s="29">
        <f t="shared" ref="M69:M73" si="14">N69-L69</f>
        <v>4234</v>
      </c>
      <c r="N69" s="29">
        <v>26235</v>
      </c>
    </row>
    <row r="70" spans="1:14" x14ac:dyDescent="0.25">
      <c r="A70" s="2">
        <v>45308</v>
      </c>
      <c r="B70" s="1">
        <v>1</v>
      </c>
      <c r="C70" s="1">
        <v>0</v>
      </c>
      <c r="D70" s="1" t="s">
        <v>298</v>
      </c>
      <c r="E70" s="1" t="s">
        <v>299</v>
      </c>
      <c r="F70" s="1" t="s">
        <v>300</v>
      </c>
      <c r="G70" s="1" t="s">
        <v>16</v>
      </c>
      <c r="H70" s="1" t="s">
        <v>301</v>
      </c>
      <c r="I70" s="1">
        <v>674453838</v>
      </c>
      <c r="J70" s="1" t="s">
        <v>17</v>
      </c>
      <c r="K70" s="2">
        <v>45674</v>
      </c>
      <c r="L70" s="29">
        <v>14256</v>
      </c>
      <c r="M70" s="29">
        <f t="shared" si="14"/>
        <v>2744</v>
      </c>
      <c r="N70" s="29">
        <v>17000</v>
      </c>
    </row>
    <row r="71" spans="1:14" x14ac:dyDescent="0.25">
      <c r="A71" s="2">
        <v>45308</v>
      </c>
      <c r="B71" s="1">
        <v>1</v>
      </c>
      <c r="C71" s="1">
        <v>0</v>
      </c>
      <c r="D71" s="1" t="s">
        <v>302</v>
      </c>
      <c r="E71" s="1" t="s">
        <v>303</v>
      </c>
      <c r="F71" s="1" t="s">
        <v>304</v>
      </c>
      <c r="G71" s="1" t="s">
        <v>16</v>
      </c>
      <c r="H71" s="1" t="s">
        <v>305</v>
      </c>
      <c r="I71" s="2"/>
      <c r="J71" s="1" t="s">
        <v>17</v>
      </c>
      <c r="K71" s="2">
        <v>45674</v>
      </c>
      <c r="L71" s="29">
        <v>14256</v>
      </c>
      <c r="M71" s="29">
        <f t="shared" si="14"/>
        <v>2744</v>
      </c>
      <c r="N71" s="29">
        <v>17000</v>
      </c>
    </row>
    <row r="72" spans="1:14" x14ac:dyDescent="0.25">
      <c r="A72" s="2">
        <v>45308</v>
      </c>
      <c r="B72" s="1">
        <v>1</v>
      </c>
      <c r="C72" s="1">
        <v>0</v>
      </c>
      <c r="D72" s="1" t="s">
        <v>306</v>
      </c>
      <c r="E72" s="1" t="s">
        <v>307</v>
      </c>
      <c r="F72" s="1" t="s">
        <v>140</v>
      </c>
      <c r="G72" s="1" t="s">
        <v>16</v>
      </c>
      <c r="H72" s="1" t="s">
        <v>308</v>
      </c>
      <c r="I72" s="1">
        <v>670747917</v>
      </c>
      <c r="J72" s="1" t="s">
        <v>21</v>
      </c>
      <c r="K72" s="2">
        <v>45489</v>
      </c>
      <c r="L72" s="29">
        <v>22001</v>
      </c>
      <c r="M72" s="29">
        <f t="shared" si="14"/>
        <v>4234</v>
      </c>
      <c r="N72" s="29">
        <v>26235</v>
      </c>
    </row>
    <row r="73" spans="1:14" x14ac:dyDescent="0.25">
      <c r="A73" s="2">
        <v>45308</v>
      </c>
      <c r="B73" s="1">
        <v>1</v>
      </c>
      <c r="C73" s="1">
        <v>0</v>
      </c>
      <c r="D73" s="1" t="s">
        <v>309</v>
      </c>
      <c r="E73" s="1" t="s">
        <v>310</v>
      </c>
      <c r="F73" s="1" t="s">
        <v>311</v>
      </c>
      <c r="G73" s="1" t="s">
        <v>16</v>
      </c>
      <c r="H73" s="1" t="s">
        <v>312</v>
      </c>
      <c r="I73" s="1">
        <v>670747917</v>
      </c>
      <c r="J73" s="1" t="s">
        <v>21</v>
      </c>
      <c r="K73" s="2">
        <v>45489</v>
      </c>
      <c r="L73" s="30">
        <v>20965</v>
      </c>
      <c r="M73" s="30">
        <f t="shared" si="14"/>
        <v>4035</v>
      </c>
      <c r="N73" s="30">
        <v>25000</v>
      </c>
    </row>
    <row r="74" spans="1:14" x14ac:dyDescent="0.25">
      <c r="A74" s="2">
        <v>45309</v>
      </c>
      <c r="B74" s="1">
        <v>1</v>
      </c>
      <c r="C74" s="1">
        <v>0</v>
      </c>
      <c r="D74" s="1" t="s">
        <v>314</v>
      </c>
      <c r="E74" s="1" t="s">
        <v>315</v>
      </c>
      <c r="F74" s="1" t="s">
        <v>316</v>
      </c>
      <c r="G74" s="1" t="s">
        <v>16</v>
      </c>
      <c r="H74" s="1" t="s">
        <v>317</v>
      </c>
      <c r="I74" s="1">
        <v>699110171</v>
      </c>
      <c r="J74" s="1" t="s">
        <v>17</v>
      </c>
      <c r="K74" s="2">
        <v>45675</v>
      </c>
      <c r="L74" s="28">
        <v>15011</v>
      </c>
      <c r="M74" s="28">
        <f>N74-L74</f>
        <v>2889</v>
      </c>
      <c r="N74" s="28">
        <v>17900</v>
      </c>
    </row>
    <row r="75" spans="1:14" x14ac:dyDescent="0.25">
      <c r="A75" s="2">
        <v>45309</v>
      </c>
      <c r="B75" s="1">
        <v>1</v>
      </c>
      <c r="C75" s="1">
        <v>0</v>
      </c>
      <c r="D75" s="1" t="s">
        <v>318</v>
      </c>
      <c r="E75" s="1" t="s">
        <v>319</v>
      </c>
      <c r="F75" s="1" t="s">
        <v>320</v>
      </c>
      <c r="G75" s="1" t="s">
        <v>16</v>
      </c>
      <c r="H75" s="1" t="s">
        <v>321</v>
      </c>
      <c r="I75" s="1">
        <v>677955347</v>
      </c>
      <c r="J75" s="1" t="s">
        <v>17</v>
      </c>
      <c r="K75" s="2">
        <v>45675</v>
      </c>
      <c r="L75" s="28">
        <v>15011</v>
      </c>
      <c r="M75" s="28">
        <f>N75-L75</f>
        <v>2889</v>
      </c>
      <c r="N75" s="28">
        <v>17900</v>
      </c>
    </row>
    <row r="76" spans="1:14" x14ac:dyDescent="0.25">
      <c r="A76" s="2">
        <v>45309</v>
      </c>
      <c r="B76" s="1">
        <v>1</v>
      </c>
      <c r="C76" s="1">
        <v>0</v>
      </c>
      <c r="D76" s="1" t="s">
        <v>322</v>
      </c>
      <c r="E76" s="1" t="s">
        <v>323</v>
      </c>
      <c r="F76" s="1" t="s">
        <v>324</v>
      </c>
      <c r="G76" s="1" t="s">
        <v>16</v>
      </c>
      <c r="H76" s="1" t="s">
        <v>325</v>
      </c>
      <c r="I76" s="1">
        <v>694102324</v>
      </c>
      <c r="J76" s="1" t="s">
        <v>21</v>
      </c>
      <c r="K76" s="2">
        <v>45491</v>
      </c>
      <c r="L76" s="30">
        <v>20965</v>
      </c>
      <c r="M76" s="30">
        <f t="shared" ref="M76" si="15">N76-L76</f>
        <v>4035</v>
      </c>
      <c r="N76" s="30">
        <v>25000</v>
      </c>
    </row>
    <row r="77" spans="1:14" x14ac:dyDescent="0.25">
      <c r="A77" s="2">
        <v>45309</v>
      </c>
      <c r="B77" s="1">
        <v>1</v>
      </c>
      <c r="C77" s="1">
        <v>0</v>
      </c>
      <c r="D77" s="1" t="s">
        <v>326</v>
      </c>
      <c r="E77" s="1" t="s">
        <v>327</v>
      </c>
      <c r="F77" s="1" t="s">
        <v>328</v>
      </c>
      <c r="G77" s="1" t="s">
        <v>16</v>
      </c>
      <c r="H77" s="1" t="s">
        <v>329</v>
      </c>
      <c r="I77" s="1">
        <v>676159328</v>
      </c>
      <c r="J77" s="1" t="s">
        <v>17</v>
      </c>
      <c r="K77" s="2">
        <v>45675</v>
      </c>
      <c r="L77" s="28">
        <v>15011</v>
      </c>
      <c r="M77" s="28">
        <f>N77-L77</f>
        <v>2889</v>
      </c>
      <c r="N77" s="28">
        <v>17900</v>
      </c>
    </row>
    <row r="78" spans="1:14" x14ac:dyDescent="0.25">
      <c r="A78" s="2">
        <v>45309</v>
      </c>
      <c r="B78" s="1">
        <v>1</v>
      </c>
      <c r="C78" s="1">
        <v>0</v>
      </c>
      <c r="D78" s="1" t="s">
        <v>330</v>
      </c>
      <c r="E78" s="1" t="s">
        <v>331</v>
      </c>
      <c r="F78" s="1" t="s">
        <v>332</v>
      </c>
      <c r="G78" s="1" t="s">
        <v>16</v>
      </c>
      <c r="H78" s="1" t="s">
        <v>333</v>
      </c>
      <c r="I78" s="1">
        <v>699731216</v>
      </c>
      <c r="J78" s="1" t="s">
        <v>17</v>
      </c>
      <c r="K78" s="2">
        <v>45675</v>
      </c>
      <c r="L78" s="28">
        <v>15011</v>
      </c>
      <c r="M78" s="28">
        <f>N78-L78</f>
        <v>2889</v>
      </c>
      <c r="N78" s="28">
        <v>17900</v>
      </c>
    </row>
    <row r="79" spans="1:14" x14ac:dyDescent="0.25">
      <c r="A79" s="2">
        <v>45309</v>
      </c>
      <c r="B79" s="1">
        <v>1</v>
      </c>
      <c r="C79" s="1">
        <v>0</v>
      </c>
      <c r="D79" t="s">
        <v>334</v>
      </c>
      <c r="E79" s="1" t="s">
        <v>335</v>
      </c>
      <c r="F79" t="s">
        <v>336</v>
      </c>
      <c r="G79" s="1" t="s">
        <v>16</v>
      </c>
      <c r="H79" t="s">
        <v>337</v>
      </c>
      <c r="I79" s="1">
        <v>697910979</v>
      </c>
      <c r="J79" s="1" t="s">
        <v>21</v>
      </c>
      <c r="K79" s="2">
        <v>45491</v>
      </c>
      <c r="L79" s="30">
        <v>20965</v>
      </c>
      <c r="M79" s="30">
        <f t="shared" ref="M79" si="16">N79-L79</f>
        <v>4035</v>
      </c>
      <c r="N79" s="30">
        <v>25000</v>
      </c>
    </row>
    <row r="80" spans="1:14" x14ac:dyDescent="0.25">
      <c r="A80" s="2">
        <v>45310</v>
      </c>
      <c r="B80" s="1">
        <v>1</v>
      </c>
      <c r="C80" s="1">
        <v>0</v>
      </c>
      <c r="D80" s="1" t="s">
        <v>339</v>
      </c>
      <c r="E80" s="1" t="s">
        <v>340</v>
      </c>
      <c r="F80" s="1" t="s">
        <v>341</v>
      </c>
      <c r="G80" s="1" t="s">
        <v>16</v>
      </c>
      <c r="H80" s="1" t="s">
        <v>342</v>
      </c>
      <c r="I80" s="1">
        <v>675954763</v>
      </c>
      <c r="J80" s="1" t="s">
        <v>17</v>
      </c>
      <c r="K80" s="2">
        <v>45676</v>
      </c>
      <c r="L80" s="28">
        <v>15011</v>
      </c>
      <c r="M80" s="28">
        <f t="shared" ref="M80:M86" si="17">N80-L80</f>
        <v>2889</v>
      </c>
      <c r="N80" s="28">
        <v>17900</v>
      </c>
    </row>
    <row r="81" spans="1:14" x14ac:dyDescent="0.25">
      <c r="A81" s="2">
        <v>45310</v>
      </c>
      <c r="B81" s="1">
        <v>1</v>
      </c>
      <c r="C81" s="1">
        <v>0</v>
      </c>
      <c r="D81" s="1" t="s">
        <v>343</v>
      </c>
      <c r="E81" s="1" t="s">
        <v>344</v>
      </c>
      <c r="F81" s="1" t="s">
        <v>345</v>
      </c>
      <c r="G81" s="1" t="s">
        <v>16</v>
      </c>
      <c r="H81" s="1" t="s">
        <v>346</v>
      </c>
      <c r="I81" s="1">
        <v>676045587</v>
      </c>
      <c r="J81" s="1" t="s">
        <v>17</v>
      </c>
      <c r="K81" s="2">
        <v>45676</v>
      </c>
      <c r="L81" s="28">
        <v>15011</v>
      </c>
      <c r="M81" s="28">
        <f t="shared" si="17"/>
        <v>2889</v>
      </c>
      <c r="N81" s="28">
        <v>17900</v>
      </c>
    </row>
    <row r="82" spans="1:14" x14ac:dyDescent="0.25">
      <c r="A82" s="2">
        <v>45310</v>
      </c>
      <c r="B82" s="1">
        <v>1</v>
      </c>
      <c r="C82" s="1">
        <v>0</v>
      </c>
      <c r="D82" s="1" t="s">
        <v>347</v>
      </c>
      <c r="E82" s="1" t="s">
        <v>348</v>
      </c>
      <c r="F82" s="1" t="s">
        <v>349</v>
      </c>
      <c r="G82" s="1" t="s">
        <v>16</v>
      </c>
      <c r="H82" s="1" t="s">
        <v>186</v>
      </c>
      <c r="I82" s="1">
        <v>674922242</v>
      </c>
      <c r="J82" s="1" t="s">
        <v>18</v>
      </c>
      <c r="K82" s="2">
        <v>45492</v>
      </c>
      <c r="L82" s="1">
        <v>0</v>
      </c>
      <c r="M82" s="1">
        <f t="shared" si="17"/>
        <v>0</v>
      </c>
      <c r="N82" s="1">
        <v>0</v>
      </c>
    </row>
    <row r="83" spans="1:14" x14ac:dyDescent="0.25">
      <c r="A83" s="2">
        <v>45311</v>
      </c>
      <c r="B83" s="1">
        <v>1</v>
      </c>
      <c r="C83" s="1">
        <v>0</v>
      </c>
      <c r="D83" s="1" t="s">
        <v>351</v>
      </c>
      <c r="E83" s="1" t="s">
        <v>352</v>
      </c>
      <c r="F83" t="s">
        <v>353</v>
      </c>
      <c r="G83" s="1" t="s">
        <v>16</v>
      </c>
      <c r="H83" t="s">
        <v>354</v>
      </c>
      <c r="I83" s="1">
        <v>699852844</v>
      </c>
      <c r="J83" s="1" t="s">
        <v>17</v>
      </c>
      <c r="K83" s="2">
        <v>45676</v>
      </c>
      <c r="L83" s="28">
        <v>15011</v>
      </c>
      <c r="M83" s="28">
        <f t="shared" si="17"/>
        <v>2889</v>
      </c>
      <c r="N83" s="28">
        <v>17900</v>
      </c>
    </row>
    <row r="84" spans="1:14" x14ac:dyDescent="0.25">
      <c r="A84" s="2">
        <v>45311</v>
      </c>
      <c r="B84" s="1">
        <v>1</v>
      </c>
      <c r="C84" s="1">
        <v>0</v>
      </c>
      <c r="D84" s="1" t="s">
        <v>355</v>
      </c>
      <c r="E84" s="1" t="s">
        <v>356</v>
      </c>
      <c r="F84" s="1" t="s">
        <v>357</v>
      </c>
      <c r="G84" s="1" t="s">
        <v>16</v>
      </c>
      <c r="H84" s="1" t="s">
        <v>358</v>
      </c>
      <c r="I84" s="1">
        <v>699777710</v>
      </c>
      <c r="J84" s="1" t="s">
        <v>17</v>
      </c>
      <c r="K84" s="2">
        <v>45676</v>
      </c>
      <c r="L84" s="28">
        <v>15011</v>
      </c>
      <c r="M84" s="28">
        <f t="shared" si="17"/>
        <v>2889</v>
      </c>
      <c r="N84" s="28">
        <v>17900</v>
      </c>
    </row>
    <row r="85" spans="1:14" x14ac:dyDescent="0.25">
      <c r="A85" s="2">
        <v>45311</v>
      </c>
      <c r="B85" s="1">
        <v>1</v>
      </c>
      <c r="C85" s="1">
        <v>0</v>
      </c>
      <c r="D85" s="1" t="s">
        <v>359</v>
      </c>
      <c r="E85" s="1" t="s">
        <v>360</v>
      </c>
      <c r="F85" s="1" t="s">
        <v>361</v>
      </c>
      <c r="G85" s="1" t="s">
        <v>16</v>
      </c>
      <c r="H85" s="1" t="s">
        <v>362</v>
      </c>
      <c r="I85" s="1">
        <v>677269280</v>
      </c>
      <c r="J85" s="1" t="s">
        <v>17</v>
      </c>
      <c r="K85" s="2">
        <v>45676</v>
      </c>
      <c r="L85" s="28">
        <v>15011</v>
      </c>
      <c r="M85" s="28">
        <f t="shared" si="17"/>
        <v>2889</v>
      </c>
      <c r="N85" s="28">
        <v>17900</v>
      </c>
    </row>
    <row r="86" spans="1:14" x14ac:dyDescent="0.25">
      <c r="A86" s="2">
        <v>45311</v>
      </c>
      <c r="B86" s="1">
        <v>1</v>
      </c>
      <c r="C86" s="1">
        <v>0</v>
      </c>
      <c r="D86" s="1" t="s">
        <v>363</v>
      </c>
      <c r="E86" s="1" t="s">
        <v>364</v>
      </c>
      <c r="F86" s="1" t="s">
        <v>365</v>
      </c>
      <c r="G86" s="1" t="s">
        <v>16</v>
      </c>
      <c r="H86" s="1" t="s">
        <v>366</v>
      </c>
      <c r="I86" s="1">
        <v>699978387</v>
      </c>
      <c r="J86" s="1" t="s">
        <v>17</v>
      </c>
      <c r="K86" s="2">
        <v>45676</v>
      </c>
      <c r="L86" s="28">
        <v>15011</v>
      </c>
      <c r="M86" s="28">
        <f t="shared" si="17"/>
        <v>2889</v>
      </c>
      <c r="N86" s="28">
        <v>17900</v>
      </c>
    </row>
    <row r="87" spans="1:14" x14ac:dyDescent="0.25">
      <c r="A87" s="2">
        <v>45313</v>
      </c>
      <c r="B87" s="1">
        <v>1</v>
      </c>
      <c r="C87" s="1">
        <v>0</v>
      </c>
      <c r="D87" s="1" t="s">
        <v>368</v>
      </c>
      <c r="E87" s="1" t="s">
        <v>369</v>
      </c>
      <c r="F87" s="1" t="s">
        <v>370</v>
      </c>
      <c r="G87" s="1" t="s">
        <v>16</v>
      </c>
      <c r="H87" s="1" t="s">
        <v>371</v>
      </c>
      <c r="I87" s="1">
        <v>678400027</v>
      </c>
      <c r="J87" s="1" t="s">
        <v>21</v>
      </c>
      <c r="K87" s="2">
        <v>45495</v>
      </c>
      <c r="L87" s="29">
        <v>22001</v>
      </c>
      <c r="M87" s="29">
        <f t="shared" ref="M87" si="18">N87-L87</f>
        <v>4234</v>
      </c>
      <c r="N87" s="29">
        <v>26235</v>
      </c>
    </row>
    <row r="88" spans="1:14" x14ac:dyDescent="0.25">
      <c r="A88" s="2">
        <v>45313</v>
      </c>
      <c r="B88" s="1">
        <v>1</v>
      </c>
      <c r="C88" s="1">
        <v>0</v>
      </c>
      <c r="D88" s="1" t="s">
        <v>372</v>
      </c>
      <c r="E88" s="1" t="s">
        <v>373</v>
      </c>
      <c r="F88" s="1" t="s">
        <v>374</v>
      </c>
      <c r="G88" s="1" t="s">
        <v>16</v>
      </c>
      <c r="H88" s="1" t="s">
        <v>375</v>
      </c>
      <c r="I88" s="1">
        <v>679536511</v>
      </c>
      <c r="J88" s="1" t="s">
        <v>17</v>
      </c>
      <c r="K88" s="2">
        <v>45679</v>
      </c>
      <c r="L88" s="28">
        <v>15011</v>
      </c>
      <c r="M88" s="28">
        <f>N88-L88</f>
        <v>2889</v>
      </c>
      <c r="N88" s="28">
        <v>17900</v>
      </c>
    </row>
    <row r="89" spans="1:14" x14ac:dyDescent="0.25">
      <c r="A89" s="2">
        <v>45313</v>
      </c>
      <c r="B89" s="1">
        <v>1</v>
      </c>
      <c r="C89" s="1">
        <v>0</v>
      </c>
      <c r="D89" s="1" t="s">
        <v>376</v>
      </c>
      <c r="E89" s="1" t="s">
        <v>377</v>
      </c>
      <c r="F89" s="1" t="s">
        <v>378</v>
      </c>
      <c r="G89" s="1" t="s">
        <v>16</v>
      </c>
      <c r="H89" s="1" t="s">
        <v>379</v>
      </c>
      <c r="I89" s="1">
        <v>693531383</v>
      </c>
      <c r="J89" s="1" t="s">
        <v>17</v>
      </c>
      <c r="K89" s="2">
        <v>45679</v>
      </c>
      <c r="L89" s="28">
        <v>15011</v>
      </c>
      <c r="M89" s="28">
        <f>N89-L89</f>
        <v>2889</v>
      </c>
      <c r="N89" s="28">
        <v>17900</v>
      </c>
    </row>
    <row r="90" spans="1:14" x14ac:dyDescent="0.25">
      <c r="A90" s="2">
        <v>45313</v>
      </c>
      <c r="B90" s="1">
        <v>1</v>
      </c>
      <c r="C90" s="1">
        <v>0</v>
      </c>
      <c r="D90" s="1" t="s">
        <v>380</v>
      </c>
      <c r="E90" s="1" t="s">
        <v>381</v>
      </c>
      <c r="F90" t="s">
        <v>382</v>
      </c>
      <c r="G90" s="1" t="s">
        <v>16</v>
      </c>
      <c r="H90" t="s">
        <v>383</v>
      </c>
      <c r="I90" s="1">
        <v>696417544</v>
      </c>
      <c r="J90" s="1" t="s">
        <v>17</v>
      </c>
      <c r="K90" s="2">
        <v>45679</v>
      </c>
      <c r="L90" s="28">
        <v>15011</v>
      </c>
      <c r="M90" s="28">
        <f>N90-L90</f>
        <v>2889</v>
      </c>
      <c r="N90" s="28">
        <v>17900</v>
      </c>
    </row>
    <row r="91" spans="1:14" x14ac:dyDescent="0.25">
      <c r="A91" s="2">
        <v>45314</v>
      </c>
      <c r="B91" s="1">
        <v>1</v>
      </c>
      <c r="C91" s="1">
        <v>0</v>
      </c>
      <c r="D91" s="1" t="s">
        <v>385</v>
      </c>
      <c r="E91" s="1" t="s">
        <v>386</v>
      </c>
      <c r="F91" s="1" t="s">
        <v>387</v>
      </c>
      <c r="G91" s="1" t="s">
        <v>16</v>
      </c>
      <c r="H91" s="1" t="s">
        <v>388</v>
      </c>
      <c r="I91" s="1">
        <v>677827451</v>
      </c>
      <c r="J91" s="1" t="s">
        <v>19</v>
      </c>
      <c r="K91" s="2">
        <v>45405</v>
      </c>
      <c r="L91" s="23">
        <v>4110</v>
      </c>
      <c r="M91" s="35">
        <f t="shared" ref="M91" si="19">N91-L91</f>
        <v>790</v>
      </c>
      <c r="N91" s="23">
        <v>4900</v>
      </c>
    </row>
    <row r="92" spans="1:14" x14ac:dyDescent="0.25">
      <c r="A92" s="2">
        <v>45314</v>
      </c>
      <c r="B92" s="1">
        <v>1</v>
      </c>
      <c r="C92" s="1">
        <v>0</v>
      </c>
      <c r="D92" s="1" t="s">
        <v>389</v>
      </c>
      <c r="E92" s="1" t="s">
        <v>390</v>
      </c>
      <c r="F92" s="1" t="s">
        <v>391</v>
      </c>
      <c r="G92" s="1" t="s">
        <v>16</v>
      </c>
      <c r="H92" s="1" t="s">
        <v>392</v>
      </c>
      <c r="I92" s="1">
        <v>677827451</v>
      </c>
      <c r="J92" s="1" t="s">
        <v>17</v>
      </c>
      <c r="K92" s="2">
        <v>45679</v>
      </c>
      <c r="L92" s="36">
        <v>15011</v>
      </c>
      <c r="M92" s="36">
        <f>N92-L92</f>
        <v>2889</v>
      </c>
      <c r="N92" s="36">
        <v>17900</v>
      </c>
    </row>
    <row r="93" spans="1:14" x14ac:dyDescent="0.25">
      <c r="A93" s="2">
        <v>45314</v>
      </c>
      <c r="B93" s="1">
        <v>1</v>
      </c>
      <c r="C93" s="1">
        <v>0</v>
      </c>
      <c r="D93" s="1" t="s">
        <v>393</v>
      </c>
      <c r="E93" s="1" t="s">
        <v>394</v>
      </c>
      <c r="F93" s="1" t="s">
        <v>395</v>
      </c>
      <c r="G93" s="1" t="s">
        <v>16</v>
      </c>
      <c r="H93" s="1" t="s">
        <v>396</v>
      </c>
      <c r="I93" s="1">
        <v>693383599</v>
      </c>
      <c r="J93" s="1" t="s">
        <v>17</v>
      </c>
      <c r="K93" s="2">
        <v>45679</v>
      </c>
      <c r="L93" s="29">
        <v>14256</v>
      </c>
      <c r="M93" s="29">
        <f t="shared" ref="M93:M94" si="20">N93-L93</f>
        <v>2744</v>
      </c>
      <c r="N93" s="29">
        <v>17000</v>
      </c>
    </row>
    <row r="94" spans="1:14" x14ac:dyDescent="0.25">
      <c r="A94" s="2">
        <v>45314</v>
      </c>
      <c r="B94" s="1">
        <v>1</v>
      </c>
      <c r="C94" s="1">
        <v>0</v>
      </c>
      <c r="D94" s="1" t="s">
        <v>397</v>
      </c>
      <c r="E94" s="1" t="s">
        <v>398</v>
      </c>
      <c r="F94" t="s">
        <v>20</v>
      </c>
      <c r="G94" s="1" t="s">
        <v>16</v>
      </c>
      <c r="H94" t="s">
        <v>399</v>
      </c>
      <c r="I94" s="1">
        <v>692077013</v>
      </c>
      <c r="J94" s="1" t="s">
        <v>21</v>
      </c>
      <c r="K94" s="2">
        <v>45495</v>
      </c>
      <c r="L94" s="29">
        <v>22001</v>
      </c>
      <c r="M94" s="29">
        <f t="shared" si="20"/>
        <v>4234</v>
      </c>
      <c r="N94" s="29">
        <v>26235</v>
      </c>
    </row>
    <row r="95" spans="1:14" x14ac:dyDescent="0.25">
      <c r="A95" s="2">
        <v>45315</v>
      </c>
      <c r="B95" s="1">
        <v>1</v>
      </c>
      <c r="C95" s="1">
        <v>0</v>
      </c>
      <c r="D95" s="1" t="s">
        <v>401</v>
      </c>
      <c r="E95" s="1" t="s">
        <v>402</v>
      </c>
      <c r="F95" s="1" t="s">
        <v>403</v>
      </c>
      <c r="G95" s="1" t="s">
        <v>16</v>
      </c>
      <c r="H95" s="1" t="s">
        <v>404</v>
      </c>
      <c r="I95" s="1">
        <v>690991429</v>
      </c>
      <c r="J95" s="1" t="s">
        <v>17</v>
      </c>
      <c r="K95" s="2">
        <v>45681</v>
      </c>
      <c r="L95" s="28">
        <v>15011</v>
      </c>
      <c r="M95" s="28">
        <f>N95-L95</f>
        <v>2889</v>
      </c>
      <c r="N95" s="28">
        <v>17900</v>
      </c>
    </row>
    <row r="96" spans="1:14" x14ac:dyDescent="0.25">
      <c r="A96" s="2">
        <v>45315</v>
      </c>
      <c r="B96" s="1">
        <v>1</v>
      </c>
      <c r="C96" s="1">
        <v>0</v>
      </c>
      <c r="D96" s="1" t="s">
        <v>405</v>
      </c>
      <c r="E96" s="1" t="s">
        <v>406</v>
      </c>
      <c r="F96" s="1" t="s">
        <v>407</v>
      </c>
      <c r="G96" s="1" t="s">
        <v>16</v>
      </c>
      <c r="H96" s="1" t="s">
        <v>408</v>
      </c>
      <c r="I96" s="1">
        <v>653721163</v>
      </c>
      <c r="J96" s="1" t="s">
        <v>21</v>
      </c>
      <c r="K96" s="2">
        <v>45497</v>
      </c>
      <c r="L96" s="29">
        <v>22001</v>
      </c>
      <c r="M96" s="29">
        <f t="shared" ref="M96:M97" si="21">N96-L96</f>
        <v>4234</v>
      </c>
      <c r="N96" s="29">
        <v>26235</v>
      </c>
    </row>
    <row r="97" spans="1:14" x14ac:dyDescent="0.25">
      <c r="A97" s="2">
        <v>45315</v>
      </c>
      <c r="B97" s="1">
        <v>1</v>
      </c>
      <c r="C97" s="1">
        <v>0</v>
      </c>
      <c r="D97" s="1" t="s">
        <v>409</v>
      </c>
      <c r="E97" s="1" t="s">
        <v>410</v>
      </c>
      <c r="F97" s="1" t="s">
        <v>411</v>
      </c>
      <c r="G97" s="1" t="s">
        <v>16</v>
      </c>
      <c r="H97" s="1" t="s">
        <v>412</v>
      </c>
      <c r="I97" s="1">
        <v>653721163</v>
      </c>
      <c r="J97" s="1" t="s">
        <v>21</v>
      </c>
      <c r="K97" s="2">
        <v>45497</v>
      </c>
      <c r="L97" s="30">
        <v>20965</v>
      </c>
      <c r="M97" s="30">
        <f t="shared" si="21"/>
        <v>4035</v>
      </c>
      <c r="N97" s="30">
        <v>25000</v>
      </c>
    </row>
    <row r="98" spans="1:14" x14ac:dyDescent="0.25">
      <c r="A98" s="2">
        <v>45315</v>
      </c>
      <c r="B98" s="1">
        <v>1</v>
      </c>
      <c r="C98" s="1">
        <v>0</v>
      </c>
      <c r="D98" s="1" t="s">
        <v>413</v>
      </c>
      <c r="E98" s="1" t="s">
        <v>414</v>
      </c>
      <c r="F98" s="1" t="s">
        <v>415</v>
      </c>
      <c r="G98" s="1" t="s">
        <v>16</v>
      </c>
      <c r="H98" s="1" t="s">
        <v>416</v>
      </c>
      <c r="I98" s="1">
        <v>675623661</v>
      </c>
      <c r="J98" s="1" t="s">
        <v>17</v>
      </c>
      <c r="K98" s="2">
        <v>45681</v>
      </c>
      <c r="L98" s="28">
        <v>15011</v>
      </c>
      <c r="M98" s="28">
        <f>N98-L98</f>
        <v>2889</v>
      </c>
      <c r="N98" s="28">
        <v>17900</v>
      </c>
    </row>
    <row r="99" spans="1:14" x14ac:dyDescent="0.25">
      <c r="A99" s="2">
        <v>45315</v>
      </c>
      <c r="B99" s="1">
        <v>1</v>
      </c>
      <c r="C99" s="1">
        <v>0</v>
      </c>
      <c r="D99" s="1" t="s">
        <v>417</v>
      </c>
      <c r="E99" s="1" t="s">
        <v>418</v>
      </c>
      <c r="F99" s="1" t="s">
        <v>419</v>
      </c>
      <c r="G99" s="1" t="s">
        <v>16</v>
      </c>
      <c r="H99" s="1" t="s">
        <v>420</v>
      </c>
      <c r="I99" s="1">
        <v>699791565</v>
      </c>
      <c r="J99" s="1" t="s">
        <v>17</v>
      </c>
      <c r="K99" s="2">
        <v>45681</v>
      </c>
      <c r="L99" s="28">
        <v>15011</v>
      </c>
      <c r="M99" s="28">
        <f>N99-L99</f>
        <v>2889</v>
      </c>
      <c r="N99" s="28">
        <v>17900</v>
      </c>
    </row>
    <row r="100" spans="1:14" x14ac:dyDescent="0.25">
      <c r="A100" s="2">
        <v>45315</v>
      </c>
      <c r="B100" s="1">
        <v>1</v>
      </c>
      <c r="C100" s="1">
        <v>0</v>
      </c>
      <c r="D100" s="1" t="s">
        <v>421</v>
      </c>
      <c r="E100" s="1" t="s">
        <v>422</v>
      </c>
      <c r="F100" s="1" t="s">
        <v>423</v>
      </c>
      <c r="G100" s="1" t="s">
        <v>16</v>
      </c>
      <c r="H100" s="1" t="s">
        <v>424</v>
      </c>
      <c r="I100" s="1">
        <v>674431384</v>
      </c>
      <c r="J100" s="1" t="s">
        <v>17</v>
      </c>
      <c r="K100" s="2">
        <v>45681</v>
      </c>
      <c r="L100" s="29">
        <v>14256</v>
      </c>
      <c r="M100" s="29">
        <f t="shared" ref="M100" si="22">N100-L100</f>
        <v>2744</v>
      </c>
      <c r="N100" s="29">
        <v>17000</v>
      </c>
    </row>
    <row r="101" spans="1:14" x14ac:dyDescent="0.25">
      <c r="A101" s="2">
        <v>45316</v>
      </c>
      <c r="B101" s="1">
        <v>1</v>
      </c>
      <c r="C101" s="1">
        <v>0</v>
      </c>
      <c r="D101" s="1" t="s">
        <v>426</v>
      </c>
      <c r="E101" s="1" t="s">
        <v>427</v>
      </c>
      <c r="F101" s="1" t="s">
        <v>428</v>
      </c>
      <c r="G101" s="1" t="s">
        <v>16</v>
      </c>
      <c r="H101" s="1" t="s">
        <v>429</v>
      </c>
      <c r="I101" s="1">
        <v>674922242</v>
      </c>
      <c r="J101" s="1" t="s">
        <v>18</v>
      </c>
      <c r="K101" s="2">
        <v>45498</v>
      </c>
      <c r="L101" s="30">
        <v>12579</v>
      </c>
      <c r="M101" s="30">
        <f t="shared" ref="M101:M104" si="23">N101-L101</f>
        <v>2421</v>
      </c>
      <c r="N101" s="30">
        <v>15000</v>
      </c>
    </row>
    <row r="102" spans="1:14" x14ac:dyDescent="0.25">
      <c r="A102" s="2">
        <v>45316</v>
      </c>
      <c r="B102" s="1">
        <v>1</v>
      </c>
      <c r="C102" s="1">
        <v>0</v>
      </c>
      <c r="D102" s="1" t="s">
        <v>430</v>
      </c>
      <c r="E102" s="1" t="s">
        <v>431</v>
      </c>
      <c r="F102" s="1" t="s">
        <v>432</v>
      </c>
      <c r="G102" s="1" t="s">
        <v>16</v>
      </c>
      <c r="H102" s="1" t="s">
        <v>433</v>
      </c>
      <c r="I102" s="1">
        <v>698464493</v>
      </c>
      <c r="J102" s="1" t="s">
        <v>17</v>
      </c>
      <c r="K102" s="2">
        <v>45682</v>
      </c>
      <c r="L102" s="29">
        <v>14256</v>
      </c>
      <c r="M102" s="29">
        <f t="shared" si="23"/>
        <v>2744</v>
      </c>
      <c r="N102" s="29">
        <v>17000</v>
      </c>
    </row>
    <row r="103" spans="1:14" x14ac:dyDescent="0.25">
      <c r="A103" s="2">
        <v>45316</v>
      </c>
      <c r="B103" s="1">
        <v>1</v>
      </c>
      <c r="C103" s="1">
        <v>0</v>
      </c>
      <c r="D103" s="1" t="s">
        <v>434</v>
      </c>
      <c r="E103" s="1" t="s">
        <v>435</v>
      </c>
      <c r="F103" s="1" t="s">
        <v>436</v>
      </c>
      <c r="G103" s="1" t="s">
        <v>16</v>
      </c>
      <c r="H103" s="1" t="s">
        <v>437</v>
      </c>
      <c r="I103" s="1">
        <v>676412543</v>
      </c>
      <c r="J103" s="1" t="s">
        <v>21</v>
      </c>
      <c r="K103" s="2">
        <v>45498</v>
      </c>
      <c r="L103" s="30">
        <v>20965</v>
      </c>
      <c r="M103" s="30">
        <f t="shared" si="23"/>
        <v>4035</v>
      </c>
      <c r="N103" s="30">
        <v>25000</v>
      </c>
    </row>
    <row r="104" spans="1:14" x14ac:dyDescent="0.25">
      <c r="A104" s="2">
        <v>45316</v>
      </c>
      <c r="B104" s="1">
        <v>1</v>
      </c>
      <c r="C104" s="1">
        <v>0</v>
      </c>
      <c r="D104" s="1" t="s">
        <v>438</v>
      </c>
      <c r="E104" s="1" t="s">
        <v>439</v>
      </c>
      <c r="F104" s="1" t="s">
        <v>440</v>
      </c>
      <c r="G104" s="1" t="s">
        <v>16</v>
      </c>
      <c r="H104" s="1" t="s">
        <v>441</v>
      </c>
      <c r="I104" s="1">
        <v>676412543</v>
      </c>
      <c r="J104" s="1" t="s">
        <v>21</v>
      </c>
      <c r="K104" s="2">
        <v>45498</v>
      </c>
      <c r="L104" s="29">
        <v>22001</v>
      </c>
      <c r="M104" s="29">
        <f t="shared" si="23"/>
        <v>4234</v>
      </c>
      <c r="N104" s="29">
        <v>26235</v>
      </c>
    </row>
    <row r="105" spans="1:14" x14ac:dyDescent="0.25">
      <c r="A105" s="2">
        <v>45317</v>
      </c>
      <c r="B105" s="1">
        <v>1</v>
      </c>
      <c r="C105" s="1">
        <v>0</v>
      </c>
      <c r="D105" s="1" t="s">
        <v>442</v>
      </c>
      <c r="E105" s="1" t="s">
        <v>443</v>
      </c>
      <c r="F105" s="1" t="s">
        <v>444</v>
      </c>
      <c r="G105" s="1" t="s">
        <v>16</v>
      </c>
      <c r="H105" s="1" t="s">
        <v>445</v>
      </c>
      <c r="I105" s="1">
        <v>679638049</v>
      </c>
      <c r="J105" s="1" t="s">
        <v>21</v>
      </c>
      <c r="K105" s="2">
        <v>45499</v>
      </c>
      <c r="L105" s="30">
        <v>20965</v>
      </c>
      <c r="M105" s="30">
        <f t="shared" ref="M105:M107" si="24">N105-L105</f>
        <v>4035</v>
      </c>
      <c r="N105" s="30">
        <v>25000</v>
      </c>
    </row>
    <row r="106" spans="1:14" x14ac:dyDescent="0.25">
      <c r="A106" s="2">
        <v>45317</v>
      </c>
      <c r="B106" s="1">
        <v>1</v>
      </c>
      <c r="C106" s="1">
        <v>0</v>
      </c>
      <c r="D106" s="1" t="s">
        <v>446</v>
      </c>
      <c r="E106" s="1" t="s">
        <v>447</v>
      </c>
      <c r="F106" t="s">
        <v>448</v>
      </c>
      <c r="G106" s="1" t="s">
        <v>16</v>
      </c>
      <c r="H106" t="s">
        <v>449</v>
      </c>
      <c r="I106" s="1">
        <v>679638049</v>
      </c>
      <c r="J106" s="1" t="s">
        <v>21</v>
      </c>
      <c r="K106" s="2">
        <v>45499</v>
      </c>
      <c r="L106" s="30">
        <v>20965</v>
      </c>
      <c r="M106" s="30">
        <f t="shared" si="24"/>
        <v>4035</v>
      </c>
      <c r="N106" s="30">
        <v>25000</v>
      </c>
    </row>
    <row r="107" spans="1:14" x14ac:dyDescent="0.25">
      <c r="A107" s="2">
        <v>45317</v>
      </c>
      <c r="B107" s="1">
        <v>1</v>
      </c>
      <c r="C107" s="1">
        <v>0</v>
      </c>
      <c r="D107" s="1" t="s">
        <v>450</v>
      </c>
      <c r="E107" s="1" t="s">
        <v>451</v>
      </c>
      <c r="F107" t="s">
        <v>452</v>
      </c>
      <c r="G107" s="1" t="s">
        <v>16</v>
      </c>
      <c r="H107" t="s">
        <v>453</v>
      </c>
      <c r="I107" s="1">
        <v>658123665</v>
      </c>
      <c r="J107" s="1" t="s">
        <v>21</v>
      </c>
      <c r="K107" s="2">
        <v>45499</v>
      </c>
      <c r="L107" s="30">
        <v>20965</v>
      </c>
      <c r="M107" s="30">
        <f t="shared" si="24"/>
        <v>4035</v>
      </c>
      <c r="N107" s="30">
        <v>25000</v>
      </c>
    </row>
    <row r="108" spans="1:14" x14ac:dyDescent="0.25">
      <c r="A108" s="2">
        <v>45317</v>
      </c>
      <c r="B108" s="1">
        <v>1</v>
      </c>
      <c r="C108" s="1">
        <v>0</v>
      </c>
      <c r="D108" s="1"/>
      <c r="E108" s="1"/>
      <c r="F108" s="24" t="s">
        <v>454</v>
      </c>
      <c r="G108" s="1" t="s">
        <v>16</v>
      </c>
      <c r="H108" t="s">
        <v>455</v>
      </c>
      <c r="I108" s="1">
        <v>691892537</v>
      </c>
      <c r="J108" s="1" t="s">
        <v>17</v>
      </c>
      <c r="K108" s="1"/>
      <c r="L108" s="28">
        <v>15011</v>
      </c>
      <c r="M108" s="28">
        <f>N108-L108</f>
        <v>2889</v>
      </c>
      <c r="N108" s="28">
        <v>17900</v>
      </c>
    </row>
    <row r="109" spans="1:14" x14ac:dyDescent="0.25">
      <c r="A109" s="2">
        <v>45318</v>
      </c>
      <c r="B109" s="1">
        <v>1</v>
      </c>
      <c r="C109" s="1">
        <v>0</v>
      </c>
      <c r="D109" s="1" t="s">
        <v>457</v>
      </c>
      <c r="E109" s="1" t="s">
        <v>458</v>
      </c>
      <c r="F109" s="1" t="s">
        <v>288</v>
      </c>
      <c r="G109" s="1" t="s">
        <v>16</v>
      </c>
      <c r="H109" s="1" t="s">
        <v>459</v>
      </c>
      <c r="I109" s="1">
        <v>651939523</v>
      </c>
      <c r="J109" s="1" t="s">
        <v>21</v>
      </c>
      <c r="K109" s="2">
        <v>45500</v>
      </c>
      <c r="L109" s="29">
        <v>22001</v>
      </c>
      <c r="M109" s="29">
        <f t="shared" ref="M109:M114" si="25">N109-L109</f>
        <v>4234</v>
      </c>
      <c r="N109" s="29">
        <v>26235</v>
      </c>
    </row>
    <row r="110" spans="1:14" x14ac:dyDescent="0.25">
      <c r="A110" s="2">
        <v>45318</v>
      </c>
      <c r="B110" s="1">
        <v>1</v>
      </c>
      <c r="C110" s="1">
        <v>0</v>
      </c>
      <c r="D110" s="1" t="s">
        <v>460</v>
      </c>
      <c r="E110" s="1" t="s">
        <v>461</v>
      </c>
      <c r="F110" s="24" t="s">
        <v>462</v>
      </c>
      <c r="G110" s="25" t="s">
        <v>16</v>
      </c>
      <c r="H110" s="24" t="s">
        <v>455</v>
      </c>
      <c r="I110" s="1">
        <v>691892537</v>
      </c>
      <c r="J110" s="1" t="s">
        <v>17</v>
      </c>
      <c r="K110" s="2">
        <v>45684</v>
      </c>
      <c r="L110" s="1">
        <v>0</v>
      </c>
      <c r="M110" s="29">
        <f t="shared" si="25"/>
        <v>0</v>
      </c>
      <c r="N110" s="1">
        <v>0</v>
      </c>
    </row>
    <row r="111" spans="1:14" x14ac:dyDescent="0.25">
      <c r="A111" s="2">
        <v>45318</v>
      </c>
      <c r="B111" s="1">
        <v>1</v>
      </c>
      <c r="C111" s="1">
        <v>0</v>
      </c>
      <c r="D111" s="1" t="s">
        <v>463</v>
      </c>
      <c r="E111" s="1" t="s">
        <v>464</v>
      </c>
      <c r="F111" s="1" t="s">
        <v>465</v>
      </c>
      <c r="G111" s="1" t="s">
        <v>16</v>
      </c>
      <c r="H111" s="1" t="s">
        <v>466</v>
      </c>
      <c r="I111" s="1">
        <v>656872724</v>
      </c>
      <c r="J111" s="1" t="s">
        <v>18</v>
      </c>
      <c r="K111" s="2">
        <v>45500</v>
      </c>
      <c r="L111" s="30">
        <v>12579</v>
      </c>
      <c r="M111" s="30">
        <f t="shared" si="25"/>
        <v>2421</v>
      </c>
      <c r="N111" s="30">
        <v>15000</v>
      </c>
    </row>
    <row r="112" spans="1:14" x14ac:dyDescent="0.25">
      <c r="A112" s="2">
        <v>45320</v>
      </c>
      <c r="B112" s="1">
        <v>1</v>
      </c>
      <c r="C112" s="1">
        <v>0</v>
      </c>
      <c r="D112" s="1" t="s">
        <v>468</v>
      </c>
      <c r="E112" s="1" t="s">
        <v>469</v>
      </c>
      <c r="F112" s="1" t="s">
        <v>470</v>
      </c>
      <c r="G112" s="1" t="s">
        <v>16</v>
      </c>
      <c r="H112" s="1" t="s">
        <v>471</v>
      </c>
      <c r="I112" s="1">
        <v>697111299</v>
      </c>
      <c r="J112" s="1" t="s">
        <v>21</v>
      </c>
      <c r="K112" s="2">
        <v>45502</v>
      </c>
      <c r="L112" s="30">
        <v>20965</v>
      </c>
      <c r="M112" s="30">
        <f t="shared" si="25"/>
        <v>4035</v>
      </c>
      <c r="N112" s="30">
        <v>25000</v>
      </c>
    </row>
    <row r="113" spans="1:14" x14ac:dyDescent="0.25">
      <c r="A113" s="2">
        <v>45320</v>
      </c>
      <c r="B113" s="1"/>
      <c r="C113" s="1">
        <v>1</v>
      </c>
      <c r="D113" s="1" t="s">
        <v>472</v>
      </c>
      <c r="E113" s="1"/>
      <c r="F113" t="s">
        <v>473</v>
      </c>
      <c r="G113" s="1" t="s">
        <v>16</v>
      </c>
      <c r="H113" t="s">
        <v>474</v>
      </c>
      <c r="I113" s="1">
        <v>694040403</v>
      </c>
      <c r="J113" s="1" t="s">
        <v>21</v>
      </c>
      <c r="K113" s="2">
        <v>45502</v>
      </c>
      <c r="L113" s="30">
        <v>20965</v>
      </c>
      <c r="M113" s="30">
        <f t="shared" si="25"/>
        <v>4035</v>
      </c>
      <c r="N113" s="30">
        <v>25000</v>
      </c>
    </row>
    <row r="114" spans="1:14" x14ac:dyDescent="0.25">
      <c r="A114" s="2">
        <v>45321</v>
      </c>
      <c r="B114" s="1">
        <v>1</v>
      </c>
      <c r="C114" s="1">
        <v>0</v>
      </c>
      <c r="D114" s="1" t="s">
        <v>476</v>
      </c>
      <c r="E114" s="1" t="s">
        <v>477</v>
      </c>
      <c r="F114" s="1" t="s">
        <v>478</v>
      </c>
      <c r="G114" s="1" t="s">
        <v>16</v>
      </c>
      <c r="H114" s="1" t="s">
        <v>479</v>
      </c>
      <c r="I114" s="1">
        <v>671341044</v>
      </c>
      <c r="J114" s="1" t="s">
        <v>21</v>
      </c>
      <c r="K114" s="2">
        <v>45503</v>
      </c>
      <c r="L114" s="30">
        <v>20965</v>
      </c>
      <c r="M114" s="30">
        <f t="shared" si="25"/>
        <v>4035</v>
      </c>
      <c r="N114" s="30">
        <v>25000</v>
      </c>
    </row>
    <row r="115" spans="1:14" x14ac:dyDescent="0.25">
      <c r="A115" s="2">
        <v>45321</v>
      </c>
      <c r="B115" s="1">
        <v>1</v>
      </c>
      <c r="C115" s="1">
        <v>0</v>
      </c>
      <c r="D115" s="1" t="s">
        <v>480</v>
      </c>
      <c r="E115" s="1" t="s">
        <v>481</v>
      </c>
      <c r="F115" t="s">
        <v>482</v>
      </c>
      <c r="G115" s="1" t="s">
        <v>16</v>
      </c>
      <c r="H115" t="s">
        <v>483</v>
      </c>
      <c r="I115" s="1">
        <v>675519864</v>
      </c>
      <c r="J115" s="1" t="s">
        <v>17</v>
      </c>
      <c r="K115" s="2">
        <v>45687</v>
      </c>
      <c r="L115" s="28">
        <v>15011</v>
      </c>
      <c r="M115" s="28">
        <f>N115-L115</f>
        <v>2889</v>
      </c>
      <c r="N115" s="28">
        <v>17900</v>
      </c>
    </row>
    <row r="116" spans="1:14" x14ac:dyDescent="0.25">
      <c r="A116" s="2">
        <v>45321</v>
      </c>
      <c r="B116" s="1">
        <v>1</v>
      </c>
      <c r="C116" s="1">
        <v>0</v>
      </c>
      <c r="D116" s="1" t="s">
        <v>484</v>
      </c>
      <c r="E116" s="1" t="s">
        <v>485</v>
      </c>
      <c r="F116" s="1" t="s">
        <v>486</v>
      </c>
      <c r="G116" s="1" t="s">
        <v>16</v>
      </c>
      <c r="H116" s="1" t="s">
        <v>487</v>
      </c>
      <c r="I116" s="1">
        <v>699680613</v>
      </c>
      <c r="J116" s="1" t="s">
        <v>18</v>
      </c>
      <c r="K116" s="2">
        <v>45503</v>
      </c>
      <c r="L116" s="28">
        <v>12998</v>
      </c>
      <c r="M116" s="28">
        <f>N116-L116</f>
        <v>2502</v>
      </c>
      <c r="N116" s="28">
        <v>15500</v>
      </c>
    </row>
    <row r="117" spans="1:14" x14ac:dyDescent="0.25">
      <c r="A117" s="2">
        <v>45321</v>
      </c>
      <c r="B117" s="1">
        <v>1</v>
      </c>
      <c r="C117" s="1">
        <v>0</v>
      </c>
      <c r="D117" s="1" t="s">
        <v>488</v>
      </c>
      <c r="E117" s="1" t="s">
        <v>489</v>
      </c>
      <c r="F117" s="1" t="s">
        <v>490</v>
      </c>
      <c r="G117" s="1" t="s">
        <v>16</v>
      </c>
      <c r="H117" s="1" t="s">
        <v>491</v>
      </c>
      <c r="I117" s="1">
        <v>678876188</v>
      </c>
      <c r="J117" s="1" t="s">
        <v>17</v>
      </c>
      <c r="K117" s="2">
        <v>45687</v>
      </c>
      <c r="L117" s="29">
        <v>14256</v>
      </c>
      <c r="M117" s="29">
        <f t="shared" ref="M117" si="26">N117-L117</f>
        <v>2744</v>
      </c>
      <c r="N117" s="29">
        <v>17000</v>
      </c>
    </row>
    <row r="118" spans="1:14" x14ac:dyDescent="0.25">
      <c r="A118" s="2">
        <v>45321</v>
      </c>
      <c r="B118" s="1">
        <v>1</v>
      </c>
      <c r="C118" s="1">
        <v>0</v>
      </c>
      <c r="D118" s="1" t="s">
        <v>492</v>
      </c>
      <c r="E118" s="1" t="s">
        <v>493</v>
      </c>
      <c r="F118" s="1" t="s">
        <v>494</v>
      </c>
      <c r="G118" s="1" t="s">
        <v>16</v>
      </c>
      <c r="H118" s="1" t="s">
        <v>495</v>
      </c>
      <c r="I118" s="1">
        <v>677330501</v>
      </c>
      <c r="J118" s="1" t="s">
        <v>18</v>
      </c>
      <c r="K118" s="2">
        <v>45503</v>
      </c>
      <c r="L118" s="28">
        <v>12998</v>
      </c>
      <c r="M118" s="28">
        <f>N118-L118</f>
        <v>2502</v>
      </c>
      <c r="N118" s="28">
        <v>15500</v>
      </c>
    </row>
    <row r="119" spans="1:14" x14ac:dyDescent="0.25">
      <c r="A119" s="2">
        <v>45321</v>
      </c>
      <c r="B119" s="1">
        <v>1</v>
      </c>
      <c r="C119" s="1">
        <v>0</v>
      </c>
      <c r="D119" s="1" t="s">
        <v>496</v>
      </c>
      <c r="E119" s="1" t="s">
        <v>497</v>
      </c>
      <c r="F119" s="1" t="s">
        <v>498</v>
      </c>
      <c r="G119" s="1" t="s">
        <v>16</v>
      </c>
      <c r="H119" s="1" t="s">
        <v>499</v>
      </c>
      <c r="I119" s="1">
        <v>677105759</v>
      </c>
      <c r="J119" s="1" t="s">
        <v>18</v>
      </c>
      <c r="K119" s="2">
        <v>45503</v>
      </c>
      <c r="L119" s="30">
        <v>12579</v>
      </c>
      <c r="M119" s="30">
        <f t="shared" ref="M119:M122" si="27">N119-L119</f>
        <v>2421</v>
      </c>
      <c r="N119" s="30">
        <v>15000</v>
      </c>
    </row>
    <row r="120" spans="1:14" x14ac:dyDescent="0.25">
      <c r="A120" s="2">
        <v>45321</v>
      </c>
      <c r="B120" s="1">
        <v>1</v>
      </c>
      <c r="C120" s="1">
        <v>0</v>
      </c>
      <c r="D120" s="1" t="s">
        <v>500</v>
      </c>
      <c r="E120" s="1" t="s">
        <v>501</v>
      </c>
      <c r="F120" s="1" t="s">
        <v>502</v>
      </c>
      <c r="G120" s="1" t="s">
        <v>16</v>
      </c>
      <c r="H120" s="1" t="s">
        <v>503</v>
      </c>
      <c r="I120" s="1">
        <v>650337690</v>
      </c>
      <c r="J120" s="1" t="s">
        <v>21</v>
      </c>
      <c r="K120" s="2">
        <v>45503</v>
      </c>
      <c r="L120" s="30">
        <v>20965</v>
      </c>
      <c r="M120" s="30">
        <f t="shared" si="27"/>
        <v>4035</v>
      </c>
      <c r="N120" s="30">
        <v>25000</v>
      </c>
    </row>
    <row r="121" spans="1:14" x14ac:dyDescent="0.25">
      <c r="A121" s="2">
        <v>45321</v>
      </c>
      <c r="B121" s="1">
        <v>1</v>
      </c>
      <c r="C121" s="1">
        <v>0</v>
      </c>
      <c r="D121" s="1" t="s">
        <v>504</v>
      </c>
      <c r="E121" s="1" t="s">
        <v>505</v>
      </c>
      <c r="F121" s="1" t="s">
        <v>506</v>
      </c>
      <c r="G121" s="1" t="s">
        <v>16</v>
      </c>
      <c r="H121" s="1" t="s">
        <v>507</v>
      </c>
      <c r="I121" s="1">
        <v>679174963</v>
      </c>
      <c r="J121" s="1" t="s">
        <v>21</v>
      </c>
      <c r="K121" s="2">
        <v>45503</v>
      </c>
      <c r="L121" s="29">
        <v>22001</v>
      </c>
      <c r="M121" s="29">
        <f t="shared" si="27"/>
        <v>4234</v>
      </c>
      <c r="N121" s="29">
        <v>26235</v>
      </c>
    </row>
    <row r="122" spans="1:14" x14ac:dyDescent="0.25">
      <c r="A122" s="2">
        <v>45321</v>
      </c>
      <c r="B122" s="1">
        <v>1</v>
      </c>
      <c r="C122" s="1">
        <v>0</v>
      </c>
      <c r="D122" s="1" t="s">
        <v>508</v>
      </c>
      <c r="E122" s="1" t="s">
        <v>509</v>
      </c>
      <c r="F122" s="1" t="s">
        <v>510</v>
      </c>
      <c r="G122" s="1" t="s">
        <v>16</v>
      </c>
      <c r="H122" t="s">
        <v>511</v>
      </c>
      <c r="I122" s="1">
        <v>673434146</v>
      </c>
      <c r="J122" s="1" t="s">
        <v>17</v>
      </c>
      <c r="K122" s="2">
        <v>45687</v>
      </c>
      <c r="L122" s="29">
        <v>14256</v>
      </c>
      <c r="M122" s="29">
        <f t="shared" si="27"/>
        <v>2744</v>
      </c>
      <c r="N122" s="29">
        <v>17000</v>
      </c>
    </row>
    <row r="123" spans="1:14" x14ac:dyDescent="0.25">
      <c r="A123" s="2">
        <v>45321</v>
      </c>
      <c r="B123" s="1">
        <v>1</v>
      </c>
      <c r="C123" s="1">
        <v>0</v>
      </c>
      <c r="D123" s="1" t="s">
        <v>512</v>
      </c>
      <c r="E123" s="1" t="s">
        <v>513</v>
      </c>
      <c r="F123" s="1" t="s">
        <v>514</v>
      </c>
      <c r="G123" s="1" t="s">
        <v>16</v>
      </c>
      <c r="H123" t="s">
        <v>515</v>
      </c>
      <c r="I123" s="1">
        <v>679738203</v>
      </c>
      <c r="J123" s="1" t="s">
        <v>17</v>
      </c>
      <c r="K123" s="2">
        <v>45687</v>
      </c>
      <c r="L123" s="28">
        <v>15011</v>
      </c>
      <c r="M123" s="28">
        <f>N123-L123</f>
        <v>2889</v>
      </c>
      <c r="N123" s="28">
        <v>17900</v>
      </c>
    </row>
    <row r="124" spans="1:14" x14ac:dyDescent="0.25">
      <c r="A124" s="2">
        <v>45321</v>
      </c>
      <c r="B124" s="1">
        <v>1</v>
      </c>
      <c r="C124" s="1">
        <v>0</v>
      </c>
      <c r="D124" s="1" t="s">
        <v>516</v>
      </c>
      <c r="E124" s="1" t="s">
        <v>517</v>
      </c>
      <c r="F124" t="s">
        <v>518</v>
      </c>
      <c r="G124" s="1" t="s">
        <v>16</v>
      </c>
      <c r="H124" t="s">
        <v>519</v>
      </c>
      <c r="I124" s="1">
        <v>695680323</v>
      </c>
      <c r="J124" s="1" t="s">
        <v>21</v>
      </c>
      <c r="K124" s="2">
        <v>45503</v>
      </c>
      <c r="L124" s="30">
        <v>20965</v>
      </c>
      <c r="M124" s="30">
        <f t="shared" ref="M124" si="28">N124-L124</f>
        <v>4035</v>
      </c>
      <c r="N124" s="30">
        <v>25000</v>
      </c>
    </row>
    <row r="125" spans="1:14" x14ac:dyDescent="0.25">
      <c r="A125" s="2">
        <v>45322</v>
      </c>
      <c r="B125" s="1">
        <v>1</v>
      </c>
      <c r="C125" s="1">
        <v>0</v>
      </c>
      <c r="D125" s="1" t="s">
        <v>521</v>
      </c>
      <c r="E125" s="1" t="s">
        <v>522</v>
      </c>
      <c r="F125" s="1" t="s">
        <v>523</v>
      </c>
      <c r="G125" s="1" t="s">
        <v>16</v>
      </c>
      <c r="H125" s="1" t="s">
        <v>524</v>
      </c>
      <c r="I125" s="1">
        <v>670291106</v>
      </c>
      <c r="J125" s="1" t="s">
        <v>18</v>
      </c>
      <c r="K125" s="2">
        <v>45504</v>
      </c>
      <c r="L125" s="28">
        <v>12998</v>
      </c>
      <c r="M125" s="28">
        <f>N125-L125</f>
        <v>2502</v>
      </c>
      <c r="N125" s="28">
        <v>15500</v>
      </c>
    </row>
    <row r="126" spans="1:14" x14ac:dyDescent="0.25">
      <c r="A126" s="2">
        <v>45322</v>
      </c>
      <c r="B126" s="1">
        <v>1</v>
      </c>
      <c r="C126" s="1">
        <v>0</v>
      </c>
      <c r="D126" s="1" t="s">
        <v>525</v>
      </c>
      <c r="E126" s="1" t="s">
        <v>526</v>
      </c>
      <c r="F126" s="1" t="s">
        <v>527</v>
      </c>
      <c r="G126" s="1" t="s">
        <v>16</v>
      </c>
      <c r="H126" s="1" t="s">
        <v>528</v>
      </c>
      <c r="I126" s="1">
        <v>677921261</v>
      </c>
      <c r="J126" s="1" t="s">
        <v>17</v>
      </c>
      <c r="K126" s="2">
        <v>45688</v>
      </c>
      <c r="L126" s="28">
        <v>15011</v>
      </c>
      <c r="M126" s="28">
        <f>N126-L126</f>
        <v>2889</v>
      </c>
      <c r="N126" s="28">
        <v>17900</v>
      </c>
    </row>
    <row r="130" spans="2:13" x14ac:dyDescent="0.25">
      <c r="B130" s="41"/>
    </row>
    <row r="131" spans="2:13" x14ac:dyDescent="0.25">
      <c r="M131" s="41"/>
    </row>
  </sheetData>
  <mergeCells count="1">
    <mergeCell ref="A1:N1"/>
  </mergeCells>
  <pageMargins left="0.7" right="0.7" top="0.75" bottom="0.75" header="0.3" footer="0.3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2FCA-885F-4124-B600-1E4E3EBDE964}">
  <dimension ref="A3:B9"/>
  <sheetViews>
    <sheetView workbookViewId="0">
      <selection activeCell="A4" sqref="A4:B4"/>
      <pivotSelection pane="bottomRight" showHeader="1" extendable="1" axis="axisRow" max="6" activeRow="3" previousRow="3" click="1" r:id="rId1">
        <pivotArea dataOnly="0" fieldPosition="0">
          <references count="1">
            <reference field="9" count="1">
              <x v="0"/>
            </reference>
          </references>
        </pivotArea>
      </pivotSelection>
    </sheetView>
  </sheetViews>
  <sheetFormatPr defaultColWidth="11.42578125" defaultRowHeight="15" x14ac:dyDescent="0.25"/>
  <cols>
    <col min="1" max="1" width="22.42578125" bestFit="1" customWidth="1"/>
    <col min="2" max="2" width="15.7109375" bestFit="1" customWidth="1"/>
    <col min="3" max="3" width="14.85546875" bestFit="1" customWidth="1"/>
    <col min="4" max="4" width="3.140625" bestFit="1" customWidth="1"/>
    <col min="5" max="5" width="2.140625" bestFit="1" customWidth="1"/>
    <col min="6" max="6" width="2.28515625" bestFit="1" customWidth="1"/>
    <col min="7" max="7" width="15.5703125" bestFit="1" customWidth="1"/>
  </cols>
  <sheetData>
    <row r="3" spans="1:2" x14ac:dyDescent="0.25">
      <c r="A3" s="42" t="s">
        <v>544</v>
      </c>
      <c r="B3" t="s">
        <v>546</v>
      </c>
    </row>
    <row r="4" spans="1:2" x14ac:dyDescent="0.25">
      <c r="A4" s="44" t="s">
        <v>19</v>
      </c>
      <c r="B4" s="43">
        <v>5.6451612903225805E-2</v>
      </c>
    </row>
    <row r="5" spans="1:2" x14ac:dyDescent="0.25">
      <c r="A5" s="44" t="s">
        <v>17</v>
      </c>
      <c r="B5" s="43">
        <v>0.46774193548387094</v>
      </c>
    </row>
    <row r="6" spans="1:2" x14ac:dyDescent="0.25">
      <c r="A6" s="44" t="s">
        <v>18</v>
      </c>
      <c r="B6" s="43">
        <v>8.0645161290322578E-2</v>
      </c>
    </row>
    <row r="7" spans="1:2" x14ac:dyDescent="0.25">
      <c r="A7" s="44" t="s">
        <v>16</v>
      </c>
      <c r="B7" s="43">
        <v>2.4193548387096774E-2</v>
      </c>
    </row>
    <row r="8" spans="1:2" x14ac:dyDescent="0.25">
      <c r="A8" s="44" t="s">
        <v>21</v>
      </c>
      <c r="B8" s="43">
        <v>0.37096774193548387</v>
      </c>
    </row>
    <row r="9" spans="1:2" x14ac:dyDescent="0.25">
      <c r="A9" s="44" t="s">
        <v>545</v>
      </c>
      <c r="B9" s="43">
        <v>1</v>
      </c>
    </row>
  </sheetData>
  <pageMargins left="0.7" right="0.7" top="0.78740157499999996" bottom="0.78740157499999996" header="0.3" footer="0.3"/>
  <drawing r:id="rId2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Transformé</vt:lpstr>
      <vt:lpstr>Statistique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Thierry Monthé</cp:lastModifiedBy>
  <cp:lastPrinted>2024-01-08T12:27:14Z</cp:lastPrinted>
  <dcterms:created xsi:type="dcterms:W3CDTF">2024-01-08T12:23:56Z</dcterms:created>
  <dcterms:modified xsi:type="dcterms:W3CDTF">2024-10-10T16:59:54Z</dcterms:modified>
</cp:coreProperties>
</file>